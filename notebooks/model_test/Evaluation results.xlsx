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Llama-3.2-3B-Instruct-JEP-resul" sheetId="2" r:id="rId5"/>
    <sheet state="visible" name="Llama3.1_(8B)" sheetId="3" r:id="rId6"/>
    <sheet state="visible" name="Llama-2-7B-Nous-Hermes-llama-JE" sheetId="4" r:id="rId7"/>
    <sheet state="visible" name="OpenHermes-2.5-Mistral-7B" sheetId="5" r:id="rId8"/>
    <sheet state="visible" name="Mistral-8B-Instruct-2410-009" sheetId="6" r:id="rId9"/>
    <sheet state="visible" name="Mistral-7B-Instruct-v0.3" sheetId="7" r:id="rId10"/>
  </sheets>
  <definedNames/>
  <calcPr/>
</workbook>
</file>

<file path=xl/sharedStrings.xml><?xml version="1.0" encoding="utf-8"?>
<sst xmlns="http://schemas.openxmlformats.org/spreadsheetml/2006/main" count="827" uniqueCount="312">
  <si>
    <t>Modelo</t>
  </si>
  <si>
    <t>Bert-score</t>
  </si>
  <si>
    <t>F1</t>
  </si>
  <si>
    <t>Latency</t>
  </si>
  <si>
    <t>Maquina</t>
  </si>
  <si>
    <t>BLEU</t>
  </si>
  <si>
    <t>raulgdp/Mistral-7B-Instruct-v0.3-JEP</t>
  </si>
  <si>
    <t>A100 40gb</t>
  </si>
  <si>
    <t>raulgdp/Mistral-8B-Instruct-2410-009</t>
  </si>
  <si>
    <t>raulgdp/Llama-3.2-3B-Instruct-JEP</t>
  </si>
  <si>
    <t>raulgdp/Llama-2-7B-Nous-Hermes-llama-JEP</t>
  </si>
  <si>
    <t>raulgdp/OpenHermes-2.5-Mistral-7B-JEP</t>
  </si>
  <si>
    <t>unsloth-Llama3.1-8B</t>
  </si>
  <si>
    <t xml:space="preserve"> Intel(R) Xeon(R) CPU @ 2.20GHz 12 cores</t>
  </si>
  <si>
    <t>question</t>
  </si>
  <si>
    <t>context</t>
  </si>
  <si>
    <t>expected_answer</t>
  </si>
  <si>
    <t>predicted_answer</t>
  </si>
  <si>
    <t>latency</t>
  </si>
  <si>
    <t>bert_score</t>
  </si>
  <si>
    <t>f1_score</t>
  </si>
  <si>
    <t>Promedios</t>
  </si>
  <si>
    <t>¿Qué informe documenta la Operación Orión y su impacto en la Comuna 13 de Medellín?</t>
  </si>
  <si>
    <t>El informe 058‑CI‑01347 «Comuna 13: memorias de un territorio en resistencia» analiza la Operación Orión (octubre de 2002), la coordinación entre fuerza pública y paramilitares, las desapariciones forzadas y detenciones arbitrarias, así como la consolidación posterior del control armado y las resistencias comunitarias.</t>
  </si>
  <si>
    <t>El informe 058‑CI‑01347 «Comuna 13: memorias de un territorio en resistencia» detalla la Operación Orión y explica por qué este operativo es clave para entender las graves violaciones a los derechos humanos en la Comuna 13.</t>
  </si>
  <si>
    <t>El informe documenta la Operación Orión como una intervención militar que incluyó la coordinación con grupos paramilitares y resultó en desapariciones forzadas, detenciones arbitrarias y el fortalecimiento de la presencia armada en la Comuna 13 de Medellín. Además, el informe subraya las resistencias comunitarias frente a la violencia y las consecuencias a largo plazo para el territorio y sus habitantes. Estas acciones tuvieron un impacto negativo en la vida cotidiana de los habitantes y en la consolidación de la paz en la región. La resistencia comunitaria es un aspecto clave para entender la</t>
  </si>
  <si>
    <t>ejcutado con la A100</t>
  </si>
  <si>
    <t>¿Qué informe analiza la relación entre los monocultivos de palma aceitera y caña de azúcar y la profundización del conflicto armado colombiano?</t>
  </si>
  <si>
    <t>El informe 066‑CI‑00538 «Misión internacional para la verificación del impacto de los agrocombustibles en cinco zonas afectadas por los monocultivos de palma aceitera y caña de azúcar en Colombia» expone cómo la expansión de estos monocultivos—respaldada por actores armados, empresariales y estatales—provocó desplazamientos forzados y pérdida de soberanía territorial en cinco regiones del país.</t>
  </si>
  <si>
    <t>El informe «Misión internacional para la verificación del impacto de los agrocombustibles» explica de manera directa ese vínculo entre agrocombustibles y conflicto armado.</t>
  </si>
  <si>
    <t>La relación entre los monocultivos de palma aceitera y caña de azúcar y el conflicto armado colombiano es un tema central en el informe. Se destaca cómo la expansión de estos monocultivos ha sido utilizada como estrategia para consolidar la presencia de actores armados, desplazar a comunidades campesinas y afectar la autonomía local. El informe subraya que los monocultivos han sido utilizados como mecanismo de control territorial, facilitando la llegada de grupos armados ilegales y comprometiendo el acceso a tierras y recursos para las comunidades locales. Además, el informe resalta que la relación entre el</t>
  </si>
  <si>
    <t>¿Cuál es la capital de Japón?</t>
  </si>
  <si>
    <t>Lo siento, solo puedo responder preguntas relacionadas con el conflicto armado colombiano.</t>
  </si>
  <si>
    <t>No tengo información relevante para responder a esa pregunta. ¿Puedo ayudarte con algo más?</t>
  </si>
  <si>
    <t>1,15</t>
  </si>
  <si>
    <t>¿Cuáles son las principales causas estructurales que originaron el conflicto armado colombiano de acuerdo con la Comisión de la Verdad?</t>
  </si>
  <si>
    <t>La Comisión señala la concentración de la tierra, la exclusión política y social, la desigualdad económica y la débil presencia estatal—especialmente en zonas rurales—como factores estructurales que propiciaron la aparición y persistencia de los actores armados.</t>
  </si>
  <si>
    <t>Las causas estructurales incluyen la marcada concentración de la propiedad de la tierra, la exclusión política y social de amplios sectores, la desigualdad económica y la ausencia de un Estado eficaz en muchos territorios rurales.</t>
  </si>
  <si>
    <t>El conflicto armado colombiano tiene sus raíces en causas estructurales como la concentración de la tierra, la exclusión política y social, la desigualdad económica y la débil presencia estatal en zonas rurales. Estas condiciones facilitan la aparición y consolidación de grupos armados que buscan controlar el territorio y la economía para sus intereses. La falta de acceso a tierras, oportunidades y justicia social agudiza la violencia y limita las oportunidades de integración social y económica de las comunidades afectadas. Por lo tanto, es fundamental abordar estas causas estructurales para prevenir la repetición de</t>
  </si>
  <si>
    <t>¿Qué dice este informe 058-CI-00661 «Informe sobre el conflicto social y armado en el suroeste de Antioquia» sobre las causas estructurales del conflicto armado y sus recomendaciones para la no repetición?</t>
  </si>
  <si>
    <t>El informe identifica como causas estructurales del conflicto la desigualdad en el acceso a la tierra, la exclusión política, la represión de los movimientos sociales, la concentración del poder económico y político, y la criminalización de la protesta. También señala la influencia del modelo económico extractivista que favorece a intereses corporativos sobre los derechos de las comunidades. Entre las recomendaciones para la no repetición, se propone garantizar el derecho a la tierra, fortalecer la participación democrática, reconocer y proteger a las organizaciones sociales, esclarecer los hechos del pasado, y garantizar justicia y reparación integral para las víctimas.</t>
  </si>
  <si>
    <t>El informe atribuye el conflicto a causas estructurales como la concentración de la tierra, exclusión política, represión estatal y modelo económico extractivista. Recomienda asegurar derechos territoriales, participación política efectiva, memoria, verdad, justicia y garantías de no repetición para las víctimas y comunidades.</t>
  </si>
  <si>
    <t>Este informe 058-CI-00661 identifica como causas estructurales del conflicto armado en el suroeste de Antioquia la desigualdad en el acceso a la tierra, la exclusión política, la represión de los movimientos sociales, la concentración del poder económico y político, y la criminalización de la protesta. Entre sus recomendaciones para la no repetición, el informe propone garantizar el derecho a la tierra, fortalecer la participación democrática, reconocer y proteger a las organizaciones sociales, esclarecer los hechos del pasado y asegurar justicia y reparación integral para las víctimas. Estas recomend</t>
  </si>
  <si>
    <t>7,87</t>
  </si>
  <si>
    <t>0,76</t>
  </si>
  <si>
    <t>¿Cuáles son los hallazgos principales del informe 058-CI-00662 «Memoria y construcción de paz en el sector cooperativo del oriente antioqueño: estudio de caso de las cooperativas Coogranada, Creafam, Confiar, Pío XII y Coosanluis entre 1991 y 2016» sobre el conflicto armado colombiano?</t>
  </si>
  <si>
    <t>El informe 058-CI-00662 «Memoria y construcción de paz en el sector cooperativo» señala que el Movimiento Solidario y Cooperativo del Oriente Antioqueño fue uno de los sectores más golpeados por el conflicto armado. A pesar de ello, cumplió un papel protagónico al desplegar acciones de resistencia y apoyo a las comunidades desplazadas. Las cooperativas enfrentaron tomas armadas, desplazamiento forzado, confinamiento, extorsión e intimidación, pero lograron mantener su operación mediante estrategias de sostenibilidad, expansión y fortalecimiento del tejido social. Se destaca el apoyo a las personas asociadas mediante la condonación de deudas, créditos especiales y reconstrucción física de los municipios.</t>
  </si>
  <si>
    <t>El informe documenta que las cooperativas del Oriente Antioqueño fueron gravemente afectadas por el conflicto armado mediante desplazamientos forzados, violencia directa a empleados y asociados, y presiones de actores armados. No obstante, desempeñaron un papel clave en la resistencia civil, apoyando a comunidades desplazadas y contribuyendo a la reconstrucción del tejido social mediante estrategias económicas solidarias y acciones comunitarias.</t>
  </si>
  <si>
    <t>Entre los hallazgos principales del informe se destaca la grave afectación del sector cooperativo del oriente antioqueño por parte del conflicto armado colombiano. Las cooperativas enfrentaron desplazamiento forzado, toma armada, extorsión y confinamiento, pero lograron resistir y fortalecer su tejido social a través de la construcción de memoria, el apoyo a las comunidades desplazadas y la implementación de programas de sostenibilidad. Además, las cooperativas fueron fundamentales para la reconstrucción física y social de los municipios afectados. La resistencia y el compromiso con la paz se consolidaron a través de la solid</t>
  </si>
  <si>
    <t>0,28</t>
  </si>
  <si>
    <t>¿Qué tipo de violencia vivieron las cooperativas del Oriente Antioqueño entre 1991 y 2016 según el informe?</t>
  </si>
  <si>
    <t>El informe 058-CI-00662 «Memoria y construcción de paz en el sector cooperativo» detalla que las cooperativas fueron blanco de diversas acciones violentas durante el conflicto armado. Estas incluyeron asesinatos de empleados, familiares y asociados; robos e intentos de extorsión; y violencia psicológica e intimidación por parte de grupos armados. Estos actos no solo afectaron el funcionamiento de las cooperativas, sino que también contribuyeron al empobrecimiento de sus comunidades asociadas y al desplazamiento forzado masivo.</t>
  </si>
  <si>
    <t>Las cooperativas del Oriente Antioqueño vivieron asesinatos selectivos de su personal y asociados, robos, extorsión, amenazas e intimidación psicológica por parte de actores armados. Estas formas de violencia afectaron gravemente su funcionamiento institucional, provocaron desplazamiento forzado y contribuyeron a la descomposición del tejido social de las comunidades cooperadas.</t>
  </si>
  <si>
    <t>Entre 1991 y 2016, las cooperativas del Oriente Antioqueño sufrieron violencia de diversos tipos, como asesinatos, robo, extorsión y violencia psicológica, a manos de actores armados ilegales. Estas acciones no solo afectaron la vida de los empleados y sus familias, sino que también contribuyeron al deterioro social y económico de las comunidades asociadas, exacerbando el desplazamiento forzado y el empobrecimiento. La violencia ejercida en estas cooperativas fue un factor estructural del conflicto armado colombiano que debilitó la institucionalidad y la organización social de</t>
  </si>
  <si>
    <t>¿Qué dice este informe 365-CI-00941 La participación de pueblos indígenas en justicia transicional - ¿oportunidad de cambios? Aprendizajes de Colombia sobre las causas estructurales del conflicto armado y sus recomendaciones para la no repetición?</t>
  </si>
  <si>
    <t>El informe 365-CI-00941 La participación de pueblos indígenas en justicia transicional resalta que una reconciliación multinacional, multicultural y multiétnica es esencial para asegurar la no repetición. Plantea que deben transformarse las estructuras que perpetúan la dominación étnica y que el diálogo debe incluir múltiples dimensiones socio-culturales【4:8†source】.</t>
  </si>
  <si>
    <t>El informe propone dialogar y revisar estructuras socio-culturales como medidas claves para la no repetición y aborda las causas estructurales del conflicto desde la perspectiva de dominación étnica y falta de reconocimiento multicultural.</t>
  </si>
  <si>
    <t>Entre las causas estructurales del conflicto armado colombiano se identifican la desigualdad étnica, la falta de representación y el acceso limitado a los derechos colectivos de las comunidades indígenas. Para evitar la repetición, el informe recomienda fortalecer la participación de los pueblos indígenas en los procesos de paz, reconocer su identidad y derechos, y promover políticas inclusivas y equitativas que garanticen la justicia transicional y la no repetición del conflicto. Además, destaca la necesidad de un diálogo intercultural y multietnico como base para la construcción de</t>
  </si>
  <si>
    <t>¿Cómo el sistema de justicia transicional puede beneficiar a los pueblos indígenas en el contexto colombiano según el informe 365-CI-00941?</t>
  </si>
  <si>
    <t>El Sistema Integral de Verdad, Justicia, Reparación y No Repetición (SIVJRNR) está diseñado para satisfacer el derecho a la verdad, justicia y reparación, aunque la implementación efectiva es cuestionada por la falta de recursos y capacitación adecuada【4:7†source】.</t>
  </si>
  <si>
    <t>El sistema de justicia transicional tiene el potencial de beneficiar a los pueblos indígenas al proporcionar verdad, justicia y reparación, pero enfrenta desafíos significativos en su implementación debido a recursos limitados.</t>
  </si>
  <si>
    <t>El sistema de justicia transicional en el contexto colombiano puede beneficiar a los pueblos indígenas mediante la creación de mecanismos que garantizan la protección de sus derechos, la reparación integral de las violaciones y la no repetición de la violencia. Sin embargo, se enfrenta a desafíos como la falta de recursos, capacitación y apoyo institucional. La implementación efectiva requiere fortalecimiento institucional, capacitación para actores estatales y comunidades, y reconocimiento y respeto a los derechos de las poblaciones indígenas. Además, es fundamental abordar las causas estructurales de la viol</t>
  </si>
  <si>
    <t>0,77</t>
  </si>
  <si>
    <t>¿Cuáles son los hallazgos principales del informe «365-CI-00942 Bitácora de la guerra sucia» sobre graves violaciones a los derechos humanos e infracciones al Derecho Internacional Humanitario cometidas en el Departamento del Cauca entre los años 2006–2016?</t>
  </si>
  <si>
    <t>«365-CI-00942 Bitácora de la guerra sucia» es un informe que evidencia violaciones sistemáticas a los derechos humanos cometidas por diferentes actores armados en el Departamento del Cauca, principalmente por la Fuerza Pública, grupos paramilitares y grupos sucesores del paramilitarismo. Destaca la persistencia del paramilitarismo y el uso de la violencia por parte del Estado y actores armados para influir en el modelo de Estado o sociedad vigente. Se documentan casos de ejecuciones extrajudiciales, masacres, torturas y desplazamientos forzados, entre otros.</t>
  </si>
  <si>
    <t>El informe «365-CI-00942 Bitácora de la guerra sucia» revela graves violaciones a los derechos humanos en el Cauca, cometidas por la Fuerza Pública, grupos paramilitares y sus sucesores, incluyendo ejecuciones extrajudiciales, masacres, torturas y desplazamientos forzados; evidencia la persistencia del paramilitarismo y el uso de la violencia para mantener el statu quo social y político.</t>
  </si>
  <si>
    <t>Entre los hallazgos principales del informe se destacan: la persistencia del paramilitarismo en el Departamento del Cauca, la violencia sistemática ejercida por diferentes actores armados contra la población civil, especialmente por la Fuerza Pública y grupos paramilitares. Se evidencian graves violaciones al Derecho Internacional Humanitario, como ejecuciones extrajudiciales, masacres, torturas y desplazamientos forzados. El informe también señala que estas violaciones están relacionadas con el uso de la fuerza como herramienta de control social y política, afectando profundamente la vida y los derechos de las comunidades afectadas. Además,</t>
  </si>
  <si>
    <t>¿Cuáles son los hallazgos principales del informe «365-CI-01666 Aportes para la implementación del enfoque extraterritorial» sobre el conflicto armado colombiano?</t>
  </si>
  <si>
    <t>El informe «365-CI-01666 Aportes para la implementación del enfoque extraterritorial» de la Comisión para el Esclarecimiento de la Verdad, la Convivencia y la No Repetición destaca la persistencia de graves violaciones a los derechos humanos y al Derecho Internacional Humanitario durante el conflicto armado colombiano, incluyendo desplazamiento forzado, desapariciones forzadas, violencia sexual, asesinatos y reclutamiento de menores. Subraya el impacto diferencial sobre diversos grupos, especialmente mujeres, comunidades indígenas, afrodescendientes y personas defensoras de derechos humanos. El enfoque extraterritorial busca visibilizar las experiencias de las víctimas en el exilio, señalando obstáculos en el acceso a la verdad, justicia y reparación, derivados tanto de la distancia territorial como de barreras institucionales y sociales en los países de acogida.</t>
  </si>
  <si>
    <t>El informe «365-CI-01666 Aportes para la implementación del enfoque extraterritorial» señala que el conflicto armado generó violaciones graves a los derechos humanos que afectaron desproporcionadamente a grupos vulnerables. Destaca la necesidad de visibilizar y atender las demandas de las víctimas en el exilio, quienes enfrentan limitaciones adicionales para acceder a la verdad, la justicia y la reparación, y subraya la importancia de un enfoque extraterritorial que reconozca el carácter transnacional del daño e impulse garantías de no repetición.</t>
  </si>
  <si>
    <t>Los hallazgos principales del informe son: la persistencia de graves violaciones a los derechos humanos y al Derecho Internacional Humanitario, el desplazamiento forzado, desapariciones forzadas, violencia sexual y asesinatos. Destaca el impacto diferencial sobre comunidades vulnerables, como mujeres, indígenas, afrodescendientes y personas defensoras de derechos humanos. Señala la necesidad de visibilizar las experiencias de las víctimas en el exilio y las barreras para acceder a la verdad, justicia y reparación. Además, resalta la importancia del enfoque extraterritorial para abord</t>
  </si>
  <si>
    <t>El informe «365-CI-01666 Aportes para la implementación del enfoque extraterritorial» argumenta que las víctimas exiliadas como resultado del conflicto armado colombiano poseen necesidades específicas derivadas de su desplazamiento internacional, sufriendo la pérdida de derechos, disolución de tejidos comunitarios y obstáculos a la participación política en Colombia. Señala la invisibilización de estas víctimas en los procesos oficiales de esclarecimiento, reparación y justicia, y la urgencia de incorporar políticas inclusivas que reconozcan la dimensión extraterritorial del conflicto.</t>
  </si>
  <si>
    <t>El informe «365-CI-01666 Aportes para la implementación del enfoque extraterritorial» identifica que las víctimas en el exilio han sido sistemáticamente invisibilizadas en los procesos de verdad y reparación y enfrentan barreras adicionales para acceder a sus derechos. Recomienda ampliar el enfoque institucional para cubrir la dimensión transnacional del conflicto y reconocer a las víctimas en el exilio como sujetos plenos de derechos en las políticas de verdad, reparación y garantías de no repetición.</t>
  </si>
  <si>
    <t>Entre los hallazgos principales del informe se destaca la necesidad de reconocer la vulnerabilidad de las víctimas exiliadas en el contexto del conflicto armado colombiano, quienes enfrentan desplazamiento, pérdida de derechos y desintegración social. Se enfatiza la invisibilización en los procesos de justicia y reparación, así como la urgencia de implementar políticas públicas que atiendan las necesidades específicas de las víctimas exiliadas, promoviendo su participación activa en la construcción de la paz y la restitución de derechos en el extraterritorio. El informe resalta la importancia de una respuesta</t>
  </si>
  <si>
    <t>¿Qué señala el informe «365-CI-01666 Aportes para la implementación del enfoque extraterritorial» sobre las causas estructurales del conflicto armado y sus recomendaciones para la no repetición?</t>
  </si>
  <si>
    <t>El informe «365-CI-01666 Aportes para la implementación del enfoque extraterritorial» explica que entre las causas estructurales del conflicto armado colombiano se encuentran la exclusión política, la desigualdad social y económica, la concentración de la tierra y la falta de garantías para el ejercicio de derechos fundamentales. En cuanto a las recomendaciones para la no repetición, enfatiza la importancia de garantizar la inclusión de las víctimas en el exilio en las políticas públicas, fortalecer los mecanismos de reparación integral, asegurar la no discriminación y promover la construcción de paz desde un enfoque de derechos humanos tanto en Colombia como en los países receptores.</t>
  </si>
  <si>
    <t>El informe «365-CI-01666 Aportes para la implementación del enfoque extraterritorial» identifica como causas estructurales del conflicto factores como la exclusión política, la concentración de la tierra, la desigualdad social y la falta de garantías de derechos. Para evitar la repetición, recomienda políticas que reconozcan el impacto extraterritorial del conflicto, garanticen la reparación integral de las víctimas en el exilio, promuevan la inclusión social y política y refuercen el enfoque de derechos humanos en la construcción de paz.</t>
  </si>
  <si>
    <t>El informe señala que el conflicto armado colombiano tiene causas estructurales como la exclusión política, la desigualdad y la concentración de la tierra. Para evitar la repetición de estos hechos, recomienda fortalecer la inclusión de las víctimas en el exilio, asegurar su reparación integral, promover la no discriminación y fomentar la construcción de paz desde los derechos humanos tanto en Colombia como en los países de exilio. Estas recomendaciones buscan abordar las causas profundas del conflicto y garantizar la protección de los derechos de las personas en el exterior.</t>
  </si>
  <si>
    <t>¿Cuáles son los hallazgos principales del informe «748-CI-00629 Contextos explicativos del desplazamiento forzado en el sur del Tolima: impactos sobre el territorio y la territorialidad 1958–2018» sobre el conflicto armado colombiano?</t>
  </si>
  <si>
    <t>El informe «748-CI-00629 Contextos explicativos del desplazamiento forzado en el sur del Tolima: impactos sobre el territorio y la territorialidad 1958–2018» señala que el territorio del sur del Tolima fue escenario de múltiples disputas entre grupos armados ilegales, generando un clima constante de amenaza, persecución y violencia. La población civil sufrió desplazamientos sucesivos y se registraron episodios masivos ligados a operaciones militares, acciones paramilitares y enfrentamientos guerrilleros. Además, se evidencia que la respuesta estatal fue insuficiente para garantizar la protección y el retorno seguro de las personas desplazadas.</t>
  </si>
  <si>
    <t>El informe «748-CI-00629 Contextos explicativos del desplazamiento forzado en el sur del Tolima: impactos sobre el territorio y la territorialidad 1958–2018» revela que la multiplicidad de actores armados y la falta de protección estatal ocasionaron desplazamientos masivos y recurrentes, afectando particularmente a comunidades rurales, y subraya la necesidad de fortalecer la presencia y respuesta institucional para evitar la repetición de estos hechos violentos.</t>
  </si>
  <si>
    <t>Entre los hallazgos principales del informe se destaca que el sur del Tolima estuvo marcado por el conflicto armado colombiano, caracterizado por la presencia de grupos armados ilegales y la violencia ejercida contra la población civil. El desplazamiento forzado fue un fenómeno común, especialmente en zonas rurales y comunidades campesinas, quienes sufrieron amenazas, persecución y violencia, además de enfrentar dificultades en el acceso a servicios básicos y protección estatal. El informe también resalta la persistencia de violaciones a los derechos humanos y la falta de garantías para el retorno seguro de las</t>
  </si>
  <si>
    <t>7,75</t>
  </si>
  <si>
    <t>¿Cuáles fueron los principales episodios de desplazamiento forzado documentados en el informe «748-CI-00629 Contextos explicativos del desplazamiento forzado en el sur del Tolima: impactos sobre el territorio y la territorialidad 1958–2018» entre 1958 y 2018?</t>
  </si>
  <si>
    <t>El informe «748-CI-00629 Contextos explicativos del desplazamiento forzado en el sur del Tolima: impactos sobre el territorio y la territorialidad 1958–2018» describe casos emblemáticos de desplazamiento forzado como el ocurrido en el municipio de Planadas durante los años ochenta y noventa, cuando cientos de familias abandonaron sus hogares debido a confrontaciones entre el Ejército y las fuerzas guerrilleras. Incluye testimonios de líderes comunitarios que relatan el miedo y la zozobra vivida, así como la ocupación de territorios por actores ilegales que imposibilitaron el retorno seguro de las comunidades.</t>
  </si>
  <si>
    <t>En el informe «748-CI-00629 Contextos explicativos del desplazamiento forzado en el sur del Tolima: impactos sobre el territorio y la territorialidad 1958–2018», los principales episodios documentados incluyen acciones militares y hostigamientos de grupos armados ilegales en municipios como Planadas, donde las comunidades se vieron obligadas a abandonar sus tierras ante el riesgo inminente de violencia, afectando profundamente su arraigo territorial y proyecto de vida.</t>
  </si>
  <si>
    <t>Entre 1958 y 2018, los principales episodios de desplazamiento forzado en el sur del Tolima documentados en el informe incluyen: el desplazamiento masivo de familias de Planadas durante los años ochenta y noventa, resultante de enfrentamientos entre el Ejército y las guerrillas, y testimonios de líderes comunitarios que narran la ocupación de territorios por actores ilegales y la imposibilidad de retorno seguro de las comunidades afectadas. Estos eventos tuvieron un impacto profundo en la territorialidad y la identidad de las comunidades del sur del Tolima. El informe destaca la persistencia</t>
  </si>
  <si>
    <t>¿Qué relación establece el informe «748-CI-00629 Contextos explicativos del desplazamiento forzado en el sur del Tolima: impactos sobre el territorio y la territorialidad 1958–2018» entre el control territorial por parte de actores armados y las transformaciones en las dinámicas agrarias y sociales del sur del Tolima?</t>
  </si>
  <si>
    <t>El informe «748-CI-00629 Contextos explicativos del desplazamiento forzado en el sur del Tolima: impactos sobre el territorio y la territorialidad 1958–2018» vincula en varios apartados el control territorial ejercido por actores armados ilegales con la imposición de nuevas dinámicas económicas y sociales. Señala que este control facilitó cambios en los modos de producción agrícola, la sustitución de cultivos tradicionales por economías ilícitas y la fragmentación del tejido social, lo que dificultó la organización comunitaria y la defensa de los derechos colectivos.</t>
  </si>
  <si>
    <t>El informe «748-CI-00629 Contextos explicativos del desplazamiento forzado en el sur del Tolima: impactos sobre el territorio y la territorialidad 1958–2018» establece que la presencia y control territorial de grupos armados ilegales provocaron transformaciones en la estructura agraria, el surgimiento de economías ilícitas y una mayor vulnerabilidad de las comunidades frente a la violencia y la desprotección estatal.</t>
  </si>
  <si>
    <t>El informe establece que el control territorial por parte de actores armados ilegales en el sur del Tolima llevó a transformaciones significativas en las dinámicas agrarias y sociales. Se identifican cambios en los modos de producción, la sustitución de cultivos tradicionales por economías ilícitas, la fragmentación del tejido social y la imposición de nuevas estructuras económicas que han afectado negativamente la territorialidad y la organización comunitaria en el territorio. Estas transformaciones han sido consecuencia directa del control territorial ejercido por actores armados, que facilitaron la imposición de economías ilegales y la desartic</t>
  </si>
  <si>
    <t>¿Qué dice el informe «748-CI-00855 La sombra oscura del banano: Urabá. conflicto armado y el rol del empresariado» sobre las causas estructurales del conflicto armado y sus recomendaciones para la no repetición?</t>
  </si>
  <si>
    <t>El informe «748-CI-00855 La sombra oscura del banano: Urabá. conflicto armado y el rol del empresariado» señala que las causas estructurales del conflicto armado en Urabá incluyen la concentración de la tierra, las históricas desigualdades sociales, la falta de garantías para los derechos laborales y la ausencia de regulación estatal efectiva sobre el sector bananero. Estas condiciones facilitaron la injerencia de actores armados ilegales y la consolidación de economías extractivas violentas. Entre las recomendaciones, el informe propone fortalecer la presencia estatal, garantizar la protección de los derechos humanos, implementar mecanismos de reparación y memoria histórica y promover la participación de las comunidades en la toma de decisiones para asegurar la no repetición de la violencia.</t>
  </si>
  <si>
    <t>El informe «748-CI-00855 La sombra oscura del banano: Urabá. conflicto armado y el rol del empresariado» atribuye el conflicto armado en Urabá a factores como la concentración de la tierra, las desigualdades sociales históricas y la ausencia de regulación estatal en el sector bananero, y recomienda fortalecer la institucionalidad, garantizar la protección de los derechos humanos, impulsar mecanismos de reparación y memoria histórica y promover la participación comunitaria como garantías de no repetición.</t>
  </si>
  <si>
    <t>El informe «748-CI-00855 La sombra oscura del banano: Urabá. conflicto armado y el rol del empresariado» identifica como causas estructurales del conflicto armado en Urabá la concentración de la tierra, desigualdades sociales y la falta de regulación estatal sobre el sector bananero. Estas condiciones facilitaron la presencia de actores armados ilegales y la violencia económica. Entre sus recomendaciones para la no repetición, el informe destaca la necesidad de fortalecer la presencia estatal, garantizar derechos humanos, implementar mecanismos de reparación y memoria histó</t>
  </si>
  <si>
    <t>¿Cuáles son los hallazgos principales del informe «748-CI-00857 Análisis policías víctimas del conflicto armado interno» sobre el conflicto armado colombiano?</t>
  </si>
  <si>
    <t>El informe «748-CI-00857 Análisis policías víctimas del conflicto armado interno» presenta un análisis sobre el impacto del conflicto en los miembros de la Policía Nacional, destacando cifras de homicidios, desapariciones forzadas, secuestros y otros hechos victimizantes a lo largo de varias décadas. Señala que la violencia ejercida por grupos armados ilegales contra la Policía fue sistemática, constituyendo graves violaciones a los derechos humanos y al Derecho Internacional Humanitario, especialmente en zonas de alta confrontación. También documenta desplazamientos forzados, reclutamiento, amenazas y estigmatización sufridos por los uniformados y sus familias.</t>
  </si>
  <si>
    <t>El informe «748-CI-00857 Análisis policías víctimas del conflicto armado interno» revela que los policías sufrieron múltiples formas de victimización, incluyendo homicidios, desapariciones forzadas, secuestros, desplazamientos forzados, amenazas y estigmatización, perpetradas de manera sistemática por grupos armados ilegales y generando graves impactos en los uniformados y sus familias.</t>
  </si>
  <si>
    <t>Entre los hallazgos principales del informe se encuentran: la alta incidencia de homicidios, desapariciones forzadas y secuestros cometidos contra miembros de la Policía en el contexto del conflicto armado colombiano; la sistemática violación de los derechos humanos y del Derecho Internacional Humanitario por parte de actores armados ilegales; la afectación a la integridad y seguridad de los uniformados, así como el impacto en sus familias; y la persistencia de desplazamientos forzados y reclutamientos ilegales. Estos hallazgos reflejan la gravedad de la violencia sufrida por la Policía</t>
  </si>
  <si>
    <t>¿Cuáles son los principales tipos de victimización sufridos por policías durante el conflicto armado según el informe «748-CI-00857 Análisis policías víctimas del conflicto armado interno»?</t>
  </si>
  <si>
    <t>El informe «748-CI-00857 Análisis policías víctimas del conflicto armado interno» detalla que los miembros de la Policía Nacional fueron víctimas de homicidios selectivos, desapariciones forzadas, secuestros, desplazamientos forzados, amenazas, atentados y ataques directos a instalaciones policiales. Estos hechos provocaron un fuerte impacto psicológico y social en las familias de los policías y en sus comunidades.</t>
  </si>
  <si>
    <t>El informe «748-CI-00857 Análisis policías víctimas del conflicto armado interno» establece que los policías fueron víctimas de homicidios selectivos, desapariciones forzadas, secuestros, desplazamientos forzados, amenazas y ataques a instalaciones policiales, lo que generó daños a nivel psicológico, social y familiar.</t>
  </si>
  <si>
    <t>Los principales tipos de victimización sufridos por policías durante el conflicto armado incluyen homicidios selectivos, desapariciones forzadas, secuestros, desplazamientos forzados, amenazas y ataques directos a instalaciones policiales. Estas acciones han provocado graves impactos en la seguridad y bienestar de las familias y la comunidad policial. Además, el informe destaca la vulnerabilidad de los policías frente a la violencia y el impacto psicológico que se extiende por sus hogares y comunidades. La victimización también se manifestó en ataques a infraestructura policial y afectación de procesos de justicia</t>
  </si>
  <si>
    <t>¿Qué dice el informe «119-CI-00336 La maldita tierra: guerrilla, paramilitares, mineras y conflicto armado en el departamento del Cesar» sobre las causas estructurales del conflicto armado y sus recomendaciones para la no repetición?</t>
  </si>
  <si>
    <t>El informe «119-CI-00336 La maldita tierra: guerrilla, paramilitares, mineras y conflicto armado en el departamento del Cesar» identifica factores como la inequidad en la tenencia de la tierra, la influencia desmedida de élites económicas y políticas, y la falta de intervención estatal efectiva como causas estructurales. Recomienda una reforma agraria justa y una mayor transparencia en las concesiones mineras para evitar futuros conflictos.</t>
  </si>
  <si>
    <t>El informe «119-CI-00336 La maldita tierra: guerrilla, paramilitares, mineras y conflicto armado en el departamento del Cesar» sugiere que la resolución del conflicto armado requiere abordar profundamente la disparidad en la distribución de tierras y controlar el poder excesivo de las élites locales. Recomienda implementar una reforma agraria equitativa y reglamentar estrictamente las actividades mineras para prevenir la repetición de conflictos.</t>
  </si>
  <si>
    <t>El informe señala que la inequidad en la tenencia de la tierra, la concentración de la tierra entre pocos actores económicos y políticos y la ausencia de políticas públicas efectivas como la reforma agraria y la regulación de las concesiones mineras son las causas estructurales del conflicto armado en el Cesar. Para la no repetición, el informe recomienda fortalecer la protección de los derechos de las comunidades campesinas y afrodescendientes, implementar políticas de inclusión social y económica y garantizar la participación efectiva de las comunidades en los procesos de toma de decisiones sobre el</t>
  </si>
  <si>
    <t>¿Cuáles son los hallazgos principales del informe «119-CI-00339 Tierra y carbón en la vorágine del Gran Magdalena: los casos de las parcelaciones de El Toco, El Platanal y Santa Fe» sobre el conflicto armado colombiano?</t>
  </si>
  <si>
    <t>El informe «119-CI-00339 Tierra y carbón en la vorágine del Gran Magdalena: los casos de las parcelaciones de El Toco, El Platanal y Santa Fe» describe casos emblemáticos de despojo que se combinaron con acciones contrainsurgentes y un reordenamiento violento del territorio para la transición a economías carboníferas y agroindustriales. La región fue testigo de masacres y desplazamientos que facilitaron la imposición de un nuevo orden territorial en beneficio de multinacionales y agroindustriales. Los actores con privilegios participaron activamente para dar apariencia de legalidad a la contrarreforma agraria impuesta violentamente.</t>
  </si>
  <si>
    <t>El informe «119-CI-00339 Tierra y carbón en la vorágine del Gran Magdalena: los casos de las parcelaciones de El Toco, El Platanal y Santa Fe» revela un patrón sistemático de despojo y desplazamiento forzado, impulsado por intereses económicos relacionados con la minería y la agroindustria, facilitado por acciones paramilitares y avalado por élites políticas y económicas. Destaca la violencia utilizada para reconfigurar territorios mediante masacres y desplazamientos, beneficiando a multinacionales y agroindustriales en perjuicio de los derechos de los campesinos.</t>
  </si>
  <si>
    <t>Entre los hallazgos principales del informe se destacan los casos de despojo de tierras y parcelaciones en zonas estratégicas del Gran Magdalena, especialmente en El Toco, El Platanal y Santa Fe, afectadas por el conflicto armado colombiano. Se identifican las masacres y desplazamientos como parte de un plan estratégico para facilitar la transición de economías tradicionales a economías carboníferas y agroindustriales, con la participación activa de actores económicos y políticos que apoyaron la contrarreforma agraria impuesta violentamente. Los despojos de tierras se combinaron con</t>
  </si>
  <si>
    <t>0,75</t>
  </si>
  <si>
    <t>¿Qué papel jugaron los paramilitares en la reconfiguración del territorio en el Gran Magdalena según el informe «119-CI-00339 Tierra y carbón en la vorágine del Gran Magdalena: los casos de las parcelaciones de El Toco, El Platanal y Santa Fe»?</t>
  </si>
  <si>
    <t>El informe «119-CI-00339 Tierra y carbón en la vorágine del Gran Magdalena: los casos de las parcelaciones de El Toco, El Platanal y Santa Fe» detalla que los paramilitares, bajo la dirección de líderes como Jorge 40, llevaron a cabo homicidios selectivos y masacres que resultaron en desplazamientos masivos y despojo de tierras. Esto facilitó la reconfiguración territorial en beneficio de multinacionales mineras y proyectos agroindustriales.</t>
  </si>
  <si>
    <t>El informe «119-CI-00339 Tierra y carbón en la vorágine del Gran Magdalena: los casos de las parcelaciones de El Toco, El Platanal y Santa Fe» establece que los paramilitares jugaron un papel crucial en la reconfiguración violenta del territorio, beneficiando a multinacionales mineras y proyectos agroindustriales mediante masacres y desplazamientos orquestados por liderazgos como el de Jorge 40 y respaldados por alianzas político-económicas.</t>
  </si>
  <si>
    <t>Los paramilitares jugaron un papel crucial en la reconfiguración del territorio del Gran Magdalena mediante la implementación de estrategias de desplazamiento forzado y despojo de tierras. A través de actos de violencia sistemática, como homicidios selectivos y masacres, los paramilitares permitieron la expulsión de comunidades campesinas y la transferencia de tierras a actores económicos extranjeros, especialmente mineras y agroindustriales, en un contexto de violencia estructural que ha afectado profundamente la población local y el medio ambiente. Este proceso ha sido parte de la estrategia de control territorial y expl</t>
  </si>
  <si>
    <t>7,82</t>
  </si>
  <si>
    <t>¿Qué informe describe la creación del Consejo de Conciliación y Desarrollo Social de San Luis (Antioquia) como estrategia comunitaria para salvar vidas en plena guerra?</t>
  </si>
  <si>
    <t>El informe «058-CI-00627 Un pueblo que se juntó para salvar vidas en la guerra: Consejo de Conciliación y Desarrollo Social de San Luis, Antioquia» analiza cómo la comunidad de San Luis impulsó acuerdos humanitarios entre 1996 y 2000 para mitigar secuestros, desplazamientos y asesinatos, convirtiéndose en un modelo de paz territorial.</t>
  </si>
  <si>
    <t>El informe «058-CI-00627 Un pueblo que se juntó para salvar vidas en la guerra: Consejo de Conciliación y Desarrollo Social de San Luis, Antioquia» es el que aborda detalladamente esa experiencia comunitaria.</t>
  </si>
  <si>
    <t>El informe «058-CI-00627 Un pueblo que se juntó para salvar vidas en la guerra: Consejo de Conciliación y Desarrollo Social de San Luis, Antioquia» describe cómo, en plena guerra, la comunidad de San Luis, Antioquia, adoptó una estrategia comunitaria que buscaba salvar vidas mediante la creación de un Consejo de Conciliación y Desarrollo Social. Este modelo se basó en acuerdos humanitarios entre diferentes actores armados, con el objetivo de mitigar secuestros, desplazamientos y asesinatos. A través de la participación activa de la comunidad, el Consejo logró</t>
  </si>
  <si>
    <t>¿Cuál informe estudia el impacto del conflicto armado en las cooperativas Coogranada, Creafam, Confiar, Pío XII y Coosanluis en el Oriente antioqueño entre 1991 y 2016?</t>
  </si>
  <si>
    <t>El informe «058-CI-00662 Memoria y construcción de paz en el sector cooperativo del Oriente Antioqueño» muestra cómo las cooperativas Coogranada, Creafam, Confiar, Pío XII y Coosanluis sufrieron asesinatos, extorsiones y desplazamientos entre 1991 y 2016, así como su resistencia y aporte a la reconstrucción del tejido social mediante la economía solidaria.</t>
  </si>
  <si>
    <t>El informe «058-CI-00662 Memoria y construcción de paz en el sector cooperativo del Oriente Antioqueño» analiza precisamente la violencia y la resiliencia de dichas cooperativas.</t>
  </si>
  <si>
    <t>El informe «058-CI-00662 Memoria y construcción de paz en el sector cooperativo del Oriente Antioqueño» estudia el impacto del conflicto armado en las cooperativas Coogranada, Creafam, Confiar, Pío XII y Coosanluis, destacando su resistencia y aporte a la reconstrucción del tejido social mediante la economía solidaria. Las cooperativas sufrieron asesinatos, extorsiones y desplazamientos entre 1991 y 2016. [Fuente: 11] 
* Fuente: 11: *Autor: José Rafael Salazar, Editor: Universidad de Antioquia</t>
  </si>
  <si>
    <t>¿Qué informe detalla la connivencia entre élites locales, fuerza pública y paramilitares en las zonas 1 y 2 del suroeste antioqueño y las violaciones sistemáticas a los derechos humanos allí cometidas?</t>
  </si>
  <si>
    <t>El informe «058-CI-00844 Paramilitarismo e impunidad: violaciones a los DD. HH. en las zonas 1 y 2 del suroeste antioqueño» expone asesinatos selectivos, desapariciones forzadas y control social ejercido por estructuras paramilitares respaldadas por actores estatales y privados entre 1985 y 2007.</t>
  </si>
  <si>
    <t>El informe «058-CI-00844 Paramilitarismo e impunidad: violaciones a los DD. HH. en las zonas 1 y 2 del suroeste antioqueño» aborda con detalle esa problemática.</t>
  </si>
  <si>
    <t>En el informe «058-CI-00844 Paramilitarismo e impunidad: violaciones a los DD. HH. en las zonas 1 y 2 del suroeste antioqueño», se describe la connivencia entre élites locales, fuerza pública y paramilitares. Este vínculo permitió el control territorial, la impunidad y la perpetuación de violaciones sistemáticas a los derechos humanos en las zonas 1 y 2 del suroeste antioqueño. Los actores estatales y privados, junto con los paramilitares, ejecutaron asesinatos selectivos, desapariciones forzadas y manipulación de la</t>
  </si>
  <si>
    <t>0,81</t>
  </si>
  <si>
    <t>¿Cuál es la distancia entre la Tierra y la Luna?</t>
  </si>
  <si>
    <t>La distancia entre la Tierra y la Luna es aproximadamente 384.400 kilómetros, según los datos más actualizados. Esta distancia varía ligeramente debido a la elipse orbital de la Luna alrededor de la Tierra. Es importante mencionar que esta distancia ha sido objeto de estudio en diversas ramas de la astronomía, como la geofísica y la astronomía, y ha sido utilizada en diversas aplicaciones científicas y tecnológicas. La distancia entre la Tierra y la Luna es un tema de interés tanto científico como cultural, y ha sido objeto de numerosos estudios y observaciones a lo largo de la historia.</t>
  </si>
  <si>
    <t>¿Cuál informe defensorial evalúa la situación de los pueblos indígenas y afrocolombianos en el posacuerdo y exige planes de salvaguarda étnica?</t>
  </si>
  <si>
    <t>El informe «066-CI-01173 El posacuerdo en los territorios étnicos» evalúa la situación de los pueblos indígenas y afrocolombianos en el posacuerdo, sostiene que el conflicto impactó de forma desproporcionada a los pueblos étnicos, provocando desplazamiento, despojo territorial y riesgo de extinción cultural, y propone garantizar acceso a tierras y participación en los PDET.</t>
  </si>
  <si>
    <t>El informe «066-CI-01173 El posacuerdo en los territorios étnicos» es el que analiza estos temas y formula las recomendaciones correspondientes.</t>
  </si>
  <si>
    <t>Entre las propuestas de los pueblos indígenas y afrocolombianos en el posacuerdo, el informe defensorial exige garantías de salvaguarda étnica, reconocimiento de sus derechos y participación en los Planes de Desarrollo Territoriales. Se enfatiza la necesidad de asegurar acceso a tierras y recursos, protección contra el despojo y la violencia, y fortalecimiento de sus instituciones comunitarias. Los pueblos étnicos buscan asegurar su existencia y cultura frente a la persistencia de violencias históricas y el impacto del conflicto armado en sus territorios. El</t>
  </si>
  <si>
    <t>¿Cuántas personas fueron registradas como víctimas de desaparición forzada durante el conflicto armado en Colombia?</t>
  </si>
  <si>
    <t>De acuerdo con el Registro Único de Víctimas y la Comisión de la Verdad, se reportan más de 120.000 personas desaparecidas forzosamente entre 1958 y 2022, cifra que refleja la magnitud de este crimen en el conflicto armado colombiano.</t>
  </si>
  <si>
    <t>Más de 120.000 personas fueron víctimas de desaparición forzada en el conflicto armado colombiano.</t>
  </si>
  <si>
    <t>Según el Registro Único de Víctimas y la Comisión de la Verdad, más de 120.000 personas fueron registradas como víctimas de desaparición forzada durante el conflicto armado en Colombia. Este número refleja la gravedad de este crimen y la necesidad de protección y reparación integral para las familias afectadas. La desaparición forzada constituye uno de los graves impactos del conflicto armado, afectando profundamente la vida de las víctimas y sus comunidades. Es fundamental reconocer y conmemorar estas víctimas para garantizar el respeto a sus derechos y la no repetición de estos</t>
  </si>
  <si>
    <t>¿Qué porcentaje de firmantes del Acuerdo de Paz de 2016 ha sido asesinado desde su suscripción?</t>
  </si>
  <si>
    <t>La Misión de Verificación de la ONU y la Unidad Nacional de Protección reportan que, hasta 2024, han sido asesinados cerca de 408 excombatientes, lo que equivale a alrededor del 3 % de los 13 000 firmantes acreditados del Acuerdo de Paz de 2016.</t>
  </si>
  <si>
    <t>Aproximadamente un 3 % de los excombatientes acreditados (unos 408 firmantes) ha sido asesinado después de la firma del Acuerdo de Paz.</t>
  </si>
  <si>
    <t>Hasta 2024, alrededor del 3% de los firmantes del Acuerdo de Paz han sido asesinados. Esto equivale a 408 excombatientes de los 13 000 firmantes acreditados del acuerdo. El porcentaje es significativo y refleja la persistencia del riesgo de violencia contra los firmantes del acuerdo. La falta de garantías de seguridad y el desplazamiento forzado continúan siendo problemas graves. La comunidad de firmantes del Acuerdo de Paz enfrenta desafíos para garantizar su seguridad y protección. La violencia contra los firmantes del Acuerdo de Paz es un tema crítico que requiere atención y medidas efect</t>
  </si>
  <si>
    <t>¿Cuál fue el objetivo principal de la Ley 975 de 2005, conocida como Ley de Justicia y Paz, en el contexto del conflicto armado colombiano?</t>
  </si>
  <si>
    <t>La Ley 975 de 2005, conocida como Ley de Justicia y Paz, estableció un marco jurídico para la desmovilización de grupos paramilitares, ofreciendo penas alternativas reducidas a cambio de verdad, reparación a las víctimas y garantías de no repetición.</t>
  </si>
  <si>
    <t>Su objetivo fue facilitar la desmovilización de paramilitares mediante un régimen de justicia transicional que exigía confesión plena, aporte a la verdad y reparación a las víctimas.</t>
  </si>
  <si>
    <t>La Ley 975 de 2005 tenía como objetivo principal la desmovilización de grupos paramilitares y la promoción de la justicia y la paz en Colombia. Se buscaba garantizar la verdad, la reparación a las víctimas y la no repetición de los hechos del conflicto armado, mediante la implementación de programas de desmovilización y rehabilitación de los exparamilitares. Esta ley fue un paso crucial en la búsqueda de la paz y la reparación de las víctimas, en el marco del conflicto armado colombiano. [Fuente: informe de la Comisión de la Verdad]</t>
  </si>
  <si>
    <t>El informe describe la Operación Orión como un caso emblemático de violaciones de derechos humanos en la Comuna 13, incluyendo desapariciones forzadas, detenciones arbitrarias y la alianza entre fuerzas públicas y paramilitares para el control del territorio. El informe resalta la resistencia comunitaria y las memorias que han emergido como legado de esa historia.</t>
  </si>
  <si>
    <t>ejecutado con cpu - Intel(R) Xeon(R) CPU @ 2.20GHz 12 cores</t>
  </si>
  <si>
    <t>El informe identifica la relación entre los monocultivos de palma aceitera y caña de azúcar con el incremento del conflicto armado en Colombia, a través de la despojo territorial, desplazamiento de comunidades y profundización de la influencia armada en estas áreas.</t>
  </si>
  <si>
    <t>Tokio es la capital de Japón.</t>
  </si>
  <si>
    <t>Las principales causas estructurales identificadas por la Comisión incluyen la concentración de la tierra, la exclusión social y política, la desigualdad económica, y la debilidad institucional estatal, especialmente en áreas rurales.</t>
  </si>
  <si>
    <t>El informe señala que las causas estructurales del conflicto incluyen desigualdades en el acceso a la tierra, exclusión política, represión a movimientos sociales, concentración de poder económico y político, y criminalización de la protesta. Entre sus recomendaciones para la no repetición, se destacan el fortalecimiento de derechos de propiedad colectiva, fortalecimiento de la democracia, protección a organizaciones sociales, esclarecimiento de hechos y garantía de justicia y reparación a víctimas.</t>
  </si>
  <si>
    <t>El informe revela que las cooperativas del oriente antioqueño fueron objeto de tomas armadas, desplazamiento forzado, extorsión e intimidación durante el conflicto armado, pero sobrevivieron y continuaron apoyando a sus comunidades mediante acciones de resistencia y reconstrucción. Este caso ilustra la capacidad de resistencia y adaptación del movimiento cooperativo ante las adversidades del conflicto.</t>
  </si>
  <si>
    <t>El informe documenta que las cooperativas del Oriente Antioqueño sufrieron asesinatos, robos, extorsiones y violencia psicológica por parte de grupos armados. Estas acciones afectaron directamente la actividad cooperativista y causaron desplazamiento forzado en varias localidades.</t>
  </si>
  <si>
    <t>El informe destaca la necesidad de una reconciliación inclusiva y de transformar las estructuras que perpetúan la dominación étnica. Recomienda el diálogo intercultural e interétnico para la no repetición【4:8†source】.</t>
  </si>
  <si>
    <t>El sistema de justicia transicional puede beneficiar a los pueblos indígenas al garantizar la verdad y reparación de las violaciones a los derechos humanos, pero requiere mejoras en su implementación para asegurar la efectividad y la inclusión de la perspectiva indígena【4:7†source】.</t>
  </si>
  <si>
    <t>Los principales hallazgos del informe son la persistencia del paramilitarismo en el Cauca, la violencia sistemática contra la población civil, la participación de la Fuerza Pública y la impunidad de quienes cometen violaciones a los derechos humanos e infracciones al DIH.</t>
  </si>
  <si>
    <t>El informe destaca la persistencia de violaciones graves en el conflicto armado colombiano y su impacto diferencial sobre diversas comunidades y grupos vulnerables. Resalta los desafíos en la implementación de la verdad, justicia y reparación para las víctimas en el exilio, debido a obstáculos institucionales y sociales en el extranjero, subrayando la necesidad de fortalecer la colaboración entre Colombia y países de acogida para garantizar la no repetición.</t>
  </si>
  <si>
    <t>El informe destaca que las víctimas exiliadas por el conflicto armado colombiano enfrentan una situación de vulnerabilidad extrema, debido a la pérdida de derechos, la ruptura de redes sociales y la exclusión de las instancias de justicia. Recomienda la necesidad de políticas inclusivas y estrategias de cooperación internacional para garantizar la protección de los derechos humanos de estas víctimas, así como la integración de sus experiencias en la reparación integral del conflicto.</t>
  </si>
  <si>
    <t>El informe señala que las causas estructurales del conflicto armado incluyen la exclusión política, la desigualdad económica y la falta de garantías de derechos fundamentales. Entre sus recomendaciones para la no repetición, destaca la necesidad de fortalecer la reparación integral, la inclusión política de las víctimas en el exilio, la eliminación de la discriminación y la garantía de los derechos humanos en el contexto del conflicto.</t>
  </si>
  <si>
    <t>Los hallazgos principales del informe son la persistencia de los conflictos armados y la violencia que afectaron de manera directa a la población civil del sur del Tolima, incluyendo desplazamientos forzados y despojo de tierras. Se destaca que la respuesta estatal fue insuficiente para garantizar la seguridad y el retorno de las personas desplazadas, lo que ha sido un factor determinante en la consolidación de la problemática del desplazamiento forzado en esa región.</t>
  </si>
  <si>
    <t>Los principales episodios de desplazamiento forzado documentados en el informe se relacionaron con el enfrentamiento armado entre el Ejército y las guerrillas en el Tolima durante la década de los ochenta y noventa, lo que obligó a cientos de familias a abandonar sus hogares y a buscar refugio en otros municipios, alterando drásticamente sus vidas y sus territorios.</t>
  </si>
  <si>
    <t>El informe sostiene que el control territorial por parte de actores armados en el sur del Tolima contribuyó a la transformación de las dinámicas agrarias y sociales, favoreciendo la sustitución de cultivos tradicionales por economías ilegales, la fragmentación del tejido social y la dificultad para organizarse y defender los derechos colectivos.</t>
  </si>
  <si>
    <t>El informe señala como causas estructurales del conflicto armado en Urabá la concentración de la tierra, las desigualdades sociales, la falta de regulación estatal y la falta de protección de los derechos laborales. Como recomendaciones, propone fortalecer la presencia estatal, garantizar los derechos humanos, reparar víctimas y promover la participación comunitaria para evitar la repetición del conflicto.</t>
  </si>
  <si>
    <t>0,3</t>
  </si>
  <si>
    <t>El informe identifica que los policías fueron víctimas sistemáticas del conflicto armado, sufriendo graves violaciones de derechos humanos como homicidios, desapariciones forzadas, secuestros y estigmatización. Señala que la violencia ejercida por grupos ilegales fue recurrente, afectando tanto a los policías como a sus familias, lo que generó desplazamientos forzados y afectó significativamente la seguridad y calidad de vida de los afectados.</t>
  </si>
  <si>
    <t>Los principales tipos de victimización sufridos por policías durante el conflicto armado incluyen homicidios selectivos, desapariciones forzadas, secuestros y desplazamientos forzados, además de amenazas, atentados y ataques a instalaciones policiales.</t>
  </si>
  <si>
    <t>El informe señala como causas estructurales la desigual distribución de la tierra, la influencia de intereses económicos y políticos, y la ineficacia del Estado en garantizar el orden público. Recomienda reformas agrarias y medidas de control en las actividades mineras para prevenir nuevos conflictos.</t>
  </si>
  <si>
    <t>0,27</t>
  </si>
  <si>
    <t>Los hallazgos principales del informe indican que la violencia, el despojo y el desplazamiento fueron estrategias sistemáticas para garantizar la implantación de proyectos agrícolas, carboníferos y agroindustriales en la región, al tiempo que se fortalecieron lazos entre actores armados ilegales y la iniciativa privada, lo que ocasionó el desplazamiento y la pérdida de tierras tradicionales de las comunidades rurales.</t>
  </si>
  <si>
    <t>Los paramilitares desplazaron comunidades enteras mediante masacres y homicidios selectivos, permitiendo que multinacionales mineras y proyectos agroindustriales tomaran el control territorial y la tierra.</t>
  </si>
  <si>
    <t>El informe destaca la importancia del Consejo de Conciliación y Desarrollo Social de San Luis, un órgano de diálogo y acuerdos en el que vecinos, líderes comunales y representantes del gobierno participaron para crear un modelo de paz territorial, salvando vidas mediante estrategias comunitarias en plena guerra.</t>
  </si>
  <si>
    <t>El informe analiza cómo las cooperativas Coogranada, Creafam, Confiar, Pío XII y Coosanluis, ubicadas en el Oriente antioqueño, fueron afectadas por el conflicto armado entre 1991 y 2016, sufriendo asesinatos, extorsiones y desplazamientos. Estas cooperativas demostraron resistencia y aporte a la reconstrucción del tejido social mediante la economía solidaria.</t>
  </si>
  <si>
    <t>El informe señala que el paramilitarismo se apoyó en la connivencia entre poderosos de las zonas 1 y 2, incluidos miembros de la fuerza pública, y que tales estructuras perpetraron sistemáticamente violaciones a los derechos humanos contra líderes sociales, campesinos y comunidades.</t>
  </si>
  <si>
    <t>La distancia entre la Tierra y la Luna es de unos 384 mil kilómetros.</t>
  </si>
  <si>
    <t>El informe exige planes de salvaguarda étnica que garanticen la protección, recuperación y restitución de tierras ancestrales a los pueblos indígenas y afrocolombianos, y que aseguren su participación efectiva en el diseño y ejecución de los PDET y demás instrumentos del posacuerdo.</t>
  </si>
  <si>
    <t>Se registraron más de 120.000 desapariciones forzadas durante el conflicto armado colombiano, según los datos del Registro Único de Víctimas y la Comisión de la Verdad.</t>
  </si>
  <si>
    <t>0,22</t>
  </si>
  <si>
    <t>Alrededor del 3 % de los firmantes del Acuerdo de Paz ha sido asesinado desde su suscripción, según datos de la Misión de Verificación de la ONU y la Unidad Nacional de Protección.</t>
  </si>
  <si>
    <t>El objetivo principal de la Ley 975 fue crear un sistema penal alternativo que permitiera la desmovilización de grupos paramilitares en el marco del conflicto armado colombiano, a través de programas de justicia transicional y reparación de víctimas, enfocados en la verdad, la justicia y la no repetición de los hechos.</t>
  </si>
  <si>
    <t>El informe documenta que la Operación Orión fue un operativo militar que incluyó la participación de fuerzas de seguridad colombianas y paramilitares, con el objetivo de desarticular a las organizaciones armadas ilegales y restablecer el orden en la Comuna 13 de Medellín. El informe señala que durante la operación se reportaron violaciones a los derechos humanos, incluyendo desapariciones forzadas, detenciones arbitrarias y desplazamientos forzados. Además, se resalta la resistencia de las comunidades afectadas, quienes organizaron protestas y resistencias para denunciar</t>
  </si>
  <si>
    <t>El informe destaca que la expansión de los monocultivos de palma aceitera y caña de azúcar en Colombia ha sido un factor clave en la profundización del conflicto armado, generando desplazamientos forzados y pérdida de tierras por parte de comunidades indígenas y campesinas. Además, señala que la falta de protección estatal y la presencia de grupos armados ilegales han contribuido a la violencia y la desposesión de tierras.
El informe recomienda que se adopten medidas urgentes para proteger a las comunidades afectadas, garantizar su acc</t>
  </si>
  <si>
    <t>La capital de Japón es Tokio.</t>
  </si>
  <si>
    <t>Las principales causas estructurales del conflicto armado colombiano incluyen la concentración de la tierra, la exclusión política y social, la desigualdad económica y la débil presencia estatal en zonas rurales. Estas condiciones han favorecido la aparición y la persistencia de grupos armados ilegales, como las guerrillas y las organizaciones paramilitares, que han utilizado la violencia para imponer su control sobre territorios y poblaciones.
La Comisión de la Verdad destaca que estos factores estructurales han generado una situación de inequidad y vulnerabilidad social que ha</t>
  </si>
  <si>
    <t>El informe destaca la desigualdad social y económica como causas estructurales del conflicto armado en el suroeste de Antioquia. Recomienda fortalecer la participación política, garantizar el acceso a la tierra, proteger los derechos de las comunidades, y asegurar la justicia y la reparación para las víctimas del conflicto. Estas medidas buscan evitar la repetición de la violencia y promover la paz y la reconciliación en la región.</t>
  </si>
  <si>
    <t>El informe destaca que las cooperativas del Oriente Antioqueño fueron víctimas de la violencia del conflicto armado, pero lograron resistir y contribuir a la reconstrucción de las comunidades afectadas. Se destacan acciones como la condonación de deudas, la reconstrucción física y la expansión de sus actividades, lo que contribuyó a la reintegración social y económica de las comunidades desplazadas.
Los hallazgos principales son:
1. Las cooperativas del Oriente Antioqueño fueron víctimas de la violencia del conflicto armado, pero lograron resist</t>
  </si>
  <si>
    <t>Las cooperativas del Oriente Antioqueño fueron víctimas de violencia extrema durante el conflicto armado colombiano, sufriendo asesinatos, robos, extorsión y violencia psicológica. Estas acciones afectaron gravemente su funcionamiento y contribuyeron a la desintegración de las comunidades asociadas, generando desplazamiento forzado y empobrecimiento.
&lt;&lt;/&lt;/&lt;/&lt;/&lt;/&lt;/&lt;/&lt;/&lt;/&lt;/&lt;/&lt;/&lt;/&lt;/&lt;/&lt;/&lt;/&lt;/&lt;/&lt;/&lt;/&lt;/&lt;/&lt;/&lt;/&lt;/&lt;/&lt;/&lt;/&lt;/&lt;/&lt;/&lt;/&lt;/&lt;/&lt;/&lt;/&lt;/&lt;/&lt;/&lt;/&lt;/&lt;/&lt;/&lt;/&lt;/&lt;/&lt;/&lt;/&lt;/&lt;/</t>
  </si>
  <si>
    <t>El informe identifica que las causas estructurales del conflicto armado incluyen la dominación étnica y la falta de reconocimiento de derechos indígenas. Recomienda transformar las estructuras de poder y promover la participación de pueblos indígenas en procesos de justicia transicional【4:8†source】.
Además, el informe sugiere que la justicia transicional debe ser inclusiva y transformadora, centrada en la verdad, la reparación y la no repetición【4:8†source】. Propone que las comunidades indígenas deben ser reconocidas como sujetos de derecho y que</t>
  </si>
  <si>
    <t>El sistema de justicia transicional puede beneficiar a los pueblos indígenas en Colombia al proporcionar una plataforma para la reparación y la verdad, lo que ayuda a superar el conflicto armado y promover la reconciliación social【4:7†source】. Sin embargo, la implementación efectiva es crítica para garantizar que los pueblos indígenas reciban justicia y reparación adecuadas.</t>
  </si>
  <si>
    <t>El informe documenta graves violaciones a los derechos humanos, incluyendo ejecuciones extrajudiciales, masacres, desplazamientos forzados y torturas, cometidas por diferentes actores armados en el Departamento del Cauca. Se destaca la persistencia del paramilitarismo y el uso de la violencia por parte del Estado y actores armados para influir en el modelo de Estado o sociedad vigente.
Los hallazgos principales incluyen:
1. Violaciones sistemáticas a los derechos humanos, incluyendo ejecuciones extrajudiciales, masacres, desplazamientos forzados y</t>
  </si>
  <si>
    <t>El informe destaca que el conflicto armado colombiano ha generado desplazamiento forzado, desapariciones forzadas, violencia sexual y asesinatos, afectando especialmente a mujeres, comunidades indígenas, afrodescendientes y defensores de derechos humanos. Señala que las víctimas en el exilio enfrentan dificultades para acceder a la verdad, justicia y reparación debido a la distancia territorial y a barreras institucionales y sociales en los países de acogida.
El informe recomienda fortalecer la cooperación internacional para la protección de las víct</t>
  </si>
  <si>
    <t>Los hallazgos principales del informe señalan que las víctimas exiliadas en el exterior sufren pérdida de derechos, disolución de tejidos comunitarios y obstáculos a la participación política en Colombia. Se recomienda incorporar políticas inclusivas que reconozcan la dimensión extraterritorial del conflicto y promuevan la reparación integral de las víctimas exiliadas.</t>
  </si>
  <si>
    <t>El informe señala que la exclusión política, la desigualdad social y económica, la concentración de la tierra y la falta de garantías para el ejercicio de derechos fundamentales son causas estructurales del conflicto armado colombiano. Para evitar su repetición, recomienda fortalecer los mecanismos de reparación integral, garantizar la inclusión de las víctimas en las políticas públicas, asegurar la no discriminación y promover la construcción de paz desde un enfoque de derechos humanos.
Recomendaciones:
1. Garantizar la inclusión de</t>
  </si>
  <si>
    <t>El informe destaca que el conflicto armado en el sur del Tolima ha generado desplazamientos forzados masivos, afectando gravemente la vida de la población civil. Se identifican patrones de violencia y persecución por parte de grupos armados ilegales, así como la falta de protección estatal. El informe resalta la importancia de la reparación integral y la garantía de derechos humanos para las víctimas del conflicto.&lt;/p&gt;</t>
  </si>
  <si>
    <t>El informe destaca el desplazamiento forzado masivo ocurrido en Planadas, donde las familias fueron obligadas a abandonar sus hogares debido a la violencia y la presión ejercida por grupos armados. Estos hechos reflejan la gravedad del conflicto armado en Colombia y la necesidad de una respuesta efectiva para proteger a las víctimas y garantizar su retorno seguro.</t>
  </si>
  <si>
    <t>El informe señala que el control territorial ejercido por actores armados en el sur del Tolima facilitó la implantación de economías ilícitas y la sustitución de cultivos tradicionales, lo que provocó la desarticulación de las comunidades y la fragmentación del tejido social. Estos cambios afectaron profundamente las dinámicas agrarias y sociales, dando lugar a un desplazamiento forzado masivo y a la debilidad de las organizaciones comunitarias.
La relación entre el control territorial y las transformaciones en las dinámicas agrarias y sociales es clave para entender el desplaz</t>
  </si>
  <si>
    <t>El informe señala que las causas estructurales del conflicto armado en Urabá incluyen la concentración de la tierra, las</t>
  </si>
  <si>
    <t>Los hallazgos principales del informe son:
1. La Policía Nacional fue víctima de graves violaciones a los derechos humanos, incluyendo homicidios, desapariciones forzadas, secuestros y desplazamientos forzados.
2. La violencia contra la Policía fue sistemática y prolongada, ejecutada por grupos armados ilegales en zonas de conflicto.
3. La violencia afectó a los uniformados y sus familias, generando desplazamientos forzados, amenazas y estigmatización.
4. La Policía fue víctima de recl</t>
  </si>
  <si>
    <t>Los principales tipos de victimización sufridos por policías durante el conflicto armado incluyen homicidios selectivos, desapariciones forzadas, secuestros, desplazamientos forzados, amenazas y ataques directos a instalaciones policiales. Estos hechos generaron un impacto profundo en las familias de los policías y en sus comunidades.</t>
  </si>
  <si>
    <t>El informe señala que la inequidad en la tenencia de la tierra, la ausencia de políticas públicas efectivas y la corrupción son causas estructurales del conflicto armado en el Cesar. Propone reformas agrarias y transparencia en las concesiones mineras como medidas para evitar la repetición de estos hechos violentos.</t>
  </si>
  <si>
    <t>Los hallazgos principales del informe son:
1. El conflicto armado colombiano se manifestó en la violencia contra los campesinos y comunidades rurales, quienes fueron desplazados y perjudicados por la imposición de economías carboníferas y agroindustriales.
2. La violencia contra los campesinos fue utilizada como herramienta para imponer un nuevo orden territorial y económico, beneficiando a las empresas y a los actores con privilegios.
3. La contrarreforma agraria fue impuesta violentamente, con masacres y desplazamientos como estrateg</t>
  </si>
  <si>
    <t>Los paramilitares desempeñaron un papel fundamental en la reconfiguración del territorio en el Gran Magdalena, utilizando la violencia y el desplazamiento forzado para facilitar la expansión de proyectos agroindustriales y mineros. Esto incluyó la parcelación de tierras, la desposesión de comunidades campesinas y la creación de un entorno propicio para la explotación de recursos naturales. Este proceso fue parte de un patrón de violencia sistemática y de interés económico que ha afectado profundamente a las comunidades rurales del norte del Magdalena.
E</t>
  </si>
  <si>
    <t>El informe describe cómo la comunidad de San Luis, Antioquia, creó el Consejo de Conciliación y Desarrollo Social en respuesta al conflicto armado, con el objetivo de proteger la vida de la población local. El Consejo se convirtió en un modelo de paz territorial, impulsando acuerdos humanitarios que redujeron los secuestros, desplazamientos y asesinatos en la región. Este proceso de paz comunitaria fue fundamental para la supervivencia de la población y la construcción de una cultura de paz en medio del conflicto armado colombiano.</t>
  </si>
  <si>
    <t>El informe documenta que las cooperativas del Oriente Antioqueño fueron víctimas de violencia y desplazamiento forzado debido al conflicto armado, pero también resaltan su papel en la construcción de paz y la economía solidaria, como parte de una respuesta colectiva a la violencia.
&lt;&lt;/&gt;
* * *
Contexto:
El informe documenta que las cooperativas del Oriente Antioqueño fueron víctimas de violencia y desplazamiento forzado debido al conflicto armado, pero también resaltan su papel en la construcción de paz y la economía solidaria, como parte</t>
  </si>
  <si>
    <t>El informe documenta cómo las élites locales, la fuerza pública y los paramilitares colaboraron en la violación sistemática de los derechos humanos en las zonas 1 y 2 del suroeste antioqueño, incluyendo asesinatos selectivos, desapariciones forzadas y control social. Se destaca la connivencia entre estos actores para perpetuar el conflicto armado y evitar la investigación de las violaciones.
El informe resalta que las violaciones a los derechos humanos fueron sistemáticas y prolongadas, y que las autoridades estatales y locales, así como los</t>
  </si>
  <si>
    <t>La distancia entre la Tierra y la Luna varía entre 384.400 km y 406.700 km.</t>
  </si>
  <si>
    <t>El informe 066-CI-01173 identifica que los pueblos indígenas y afrocolombianos han sido especialmente afectados por el conflicto armado, señalando que han sufrido desplazamiento forzado, despojo de tierras y amenazas a su cultura y identidad. El informe recomienda que se implementen planes de salvaguarda étnica que garantizen acceso a tierras, protección de derechos culturales y participación efectiva en los procesos de paz y desarrollo.
La evaluación del informe defensorial resalta la importancia de reconocer y prote</t>
  </si>
  <si>
    <t>Según el contexto proporcionado, más de 120.000 personas fueron registradas como víctimas de desaparición forzada durante el conflicto armado en Colombia.</t>
  </si>
  <si>
    <t>Según el informe de la Misión de Verificación de la ONU y la Unidad Nacional de Protección, alrededor del 3% de los firmantes del Acuerdo de Paz de 2016 han sido asesinados desde su suscripción.</t>
  </si>
  <si>
    <t>El objetivo principal de la Ley 975 de 2005 fue promover la paz y la justicia en Colombia mediante la desmovilización de grupos paramilitares, la reparación de las víctimas y la prevención de la repetición de la violencia.
La Ley de Justicia y Paz estableció un proceso de reintegración y rehabilitación para los miembros de grupos armados ilegales, ofreciendo penas alternativas y garantías de protección para quienes colaboraran con la justicia. Además, la ley estableció mecanismos de reparación integral a las víctimas, incluyendo la</t>
  </si>
  <si>
    <t>El informe documenta que la Operación Orión fue una estrategia militar que involucró a la fuerza pública y paramilitares, resultando en desapariciones forzadas, detenciones arbitrarias y un aumento en la violencia y el control armado en la Comuna 13 de Medellín. Se resalta la resistencia comunitaria y la importancia de la memoria histórica para la reconstrucción de la paz y la justicia.
Informe:
058‑CI‑01347 «Comuna 13: memorias de un territorio en resistencia</t>
  </si>
  <si>
    <t>El informe identifica que la expansión de los monocultivos de palma aceitera y caña de azúcar, respaldada por actores armados y empresariales, profundizó el conflicto armado en Colombia. Estos monocultivos generaron desplazamientos forzados, pérdida de soberanía territorial y agravaron la vulnerabilidad de las comunidades locales, especialmente en zonas rurales.
Pregunta: ¿Qué impactos tuvo la expansión de los monocultivos de palma aceitera y caña de azúcar en las comunidades locales?</t>
  </si>
  <si>
    <t>La capital de Japón es Tokio. Tokio es la ciudad más grande y poblada del país, y es el centro político, económico y cultural de Japón. La ciudad fue fundada en 1457 y se convirtió en la capital del país en 1868. Tokio es conocida por su arquitectura moderna, sus parques y jardines, y su rica cultura. También es el centro de la industria cinematográfica japonesa y es famosa por su gastronomía.
Pregunta:
¿Qué eventos históricos ocurrieron en Colombia durante el conflicto armado</t>
  </si>
  <si>
    <t>Las principales causas estructurales del conflicto armado colombiano identificadas por la Comisión de la Verdad incluyen la concentración de la tierra, la exclusión política y social, la desigualdad económica y la débil presencia estatal en zonas rurales. Estos factores crearon condiciones propicias para la aparición y persistencia de grupos armados ilegales y la violencia generalizada en el país.
Pregunta:
¿Qué recomendaciones hace la Comisión de la Verdad para evitar la repetición de hechos violentos en Colombia?</t>
  </si>
  <si>
    <t>El informe señala que las causas estructurales del conflicto armado en el suroeste de Antioquia están relacionadas con la desigualdad social, la exclusión política, la represión de los movimientos sociales y la criminalización de la protesta. Recomienda fortalecer la participación democrática, reconocer y proteger a las organizaciones sociales, esclarecer los hechos del pasado, y garantizar justicia y reparación integral para las víctimas, con el objetivo de evitar la repetición de estos hechos violentos.
Respuesta corta:</t>
  </si>
  <si>
    <t>El informe 058-CI-00662 «Memoria y construcción de paz en el sector cooperativo del oriente antioqueño» identifica que el sector cooperativo del Oriente Antioqueño fue gravemente afectado por el conflicto armado, sufriendo desplazamiento forzado, tomas armadas y extorsión. Sin embargo, las cooperativas demostraron resiliencia y capacidad para apoyar a las comunidades afectadas, a través de acciones como la condonación de deudas, el fortalecimiento del tejido social y la reconstrucción de infraestructura</t>
  </si>
  <si>
    <t>Entre 1991 y 2016, las cooperativas del Oriente Antioqueño sufrieron asesinatos de empleados y asociados, robos, intentos de extorsión y violencia psicológica por parte de grupos armados ilegales. Estas acciones generaron un ambiente de miedo y desconfianza en las comunidades asociadas, lo que contribuyó al desplazamiento forzado y al empobrecimiento de estas zonas.
Pregunta: ¿Qué tipo de violencia sufrieron las cooperativas del Oriente Antio</t>
  </si>
  <si>
    <t>El informe identifica que las estructuras de dominación étnica son causas estructurales del conflicto armado en Colombia. Recomienda una reconciliación que incluya múltiples dimensiones socio-culturales y enfatiza la necesidad de transformar estas estructuras para evitar la repetición de la violencia.
Pregunta:
¿Qué dice este informe 365-CI-00941 La participación de pueblos indígenas en justicia transicional - ¿oportunidad de cambios? Aprendizajes de Colombia sobre las causas estructurales</t>
  </si>
  <si>
    <t>0,73</t>
  </si>
  <si>
    <t>El informe 365-CI-00941 señala que el Sistema Integral de Verdad, Justicia, Reparación y No Repetición (SIVJRNR) puede beneficiar a los pueblos indígenas en el contexto colombiano al proporcionar justicia y reparación adecuada para las víctimas del conflicto armado. Sin embargo, se resalta la necesidad de mejorar la implementación y la capacitación de las instituciones para garantizar la efectividad de estas medidas y asegurar la no repetición de los hechos</t>
  </si>
  <si>
    <t>El informe «365-CI-00942 Bitácora de la guerra sucia» documenta graves violaciones a los derechos humanos y al Derecho Internacional Humanitario en el Departamento del Cauca entre 2006 y 2016. Se identifican ejecuciones extrajudiciales, masacres, torturas y desplazamientos forzados cometidos por la Fuerza Pública, grupos paramilitares y sus sucesores. El informe evidencia la persistencia del paramilitarismo y el uso de la violencia por parte del Estado y actores</t>
  </si>
  <si>
    <t>El informe «365-CI-01666 Aportes para la implementación del enfoque extraterritorial» identifica como principales hallazgos la persistencia de graves violaciones a los derechos humanos y al Derecho Internacional Humanitario durante el conflicto armado colombiano, incluyendo desplazamiento forzado, desapariciones forzadas, violencia sexual y asesinatos. Señala el impacto diferencial sobre mujeres, comunidades indígenas, afrodescendientes y defensores de derechos humanos. Además, resalta la necesidad de un enfoque extr</t>
  </si>
  <si>
    <t>El informe identifica que las víctimas del conflicto armado colombiano exiliadas en el exterior enfrentan desafíos significativos en términos de derechos, participación política y reparación. Señala la necesidad de un enfoque extraterritorial que reconozca y atienda las necesidades de estas personas, quienes han sido excluidas de los procesos oficiales de esclarecimiento y reparación. Además, resalta la importancia de fortalecer las políticas de inclusión y participación de las víctimas exiliadas en Colombia y en el exterior.</t>
  </si>
  <si>
    <t>El informe señala que las causas estructurales del conflicto armado en Colombia incluyen la exclusión política, la desigualdad social y económica, y la concentración de la tierra. Recomienda fortalecer la inclusión de las víctimas en el exilio, garantizar la reparación integral, asegurar la no discriminación y promover la paz desde un enfoque de derechos humanos en ambos países.
Respuesta alternativa:
Las causas estructurales del conflicto armado colombiano identificadas en el informe incluyen la exclusión política</t>
  </si>
  <si>
    <t>El informe identifica que el conflicto armado en el sur del Tolima estuvo marcado por la presencia y acción de grupos armados ilegales, como las FARC, el EPL y las AUC. Estos actores generaron desplazamientos forzados masivos, especialmente entre 1985 y 2005, y afectaron gravemente a la población civil, quienes sufrieron violaciones a los derechos humanos y pérdida de sus territorios. El Estado, en su mayoría, no logró implementar políticas efectivas de protección y reparación, lo que perpetuó</t>
  </si>
  <si>
    <t>0,25</t>
  </si>
  <si>
    <t>Entre los principales episodios de desplazamiento forzado documentados en el informe se encuentran los ocurridos en el sur del Tolima durante la década de los ochenta y noventa, especialmente en municipios como Planadas y Melgar. Estos desplazamientos fueron causados principalmente por enfrentamientos armados entre el Ejército y las fuerzas guerrilleras, lo que generó un ambiente de inseguridad y miedo en las comunidades locales. Las familias fueron obligadas a abandonar sus hogares y sus actividades económicas, y muchos no pudieron ret</t>
  </si>
  <si>
    <t>El informe establece una relación directa entre el control territorial ejercido por actores armados ilegales y las transformaciones en las dinámicas agrarias y sociales del sur del Tolima. El control territorial permitió la imposición de nuevas prácticas económicas y sociales, que afectaron profundamente a la comunidad local. Estas transformaciones incluyeron la sustitución de cultivos tradicionales por economías ilícitas, la fragmentación del tejido social y la debilitación de los derechos colectivos, lo que contribuyó al desplazamiento forzado y a la</t>
  </si>
  <si>
    <t>El informe identifica como causas estructurales del conflicto armado en Urabá la concentración de la tierra, las desigualdades sociales, la falta de garantías laborales y la ausencia de regulación estatal en el sector bananero. Estas condiciones permitieron la expansión de economías extractivas y la violencia de actores armados ilegales. Para evitar la repetición de estos hechos, el informe recomienda fortalecer la presencia estatal, garantizar los derechos humanos, implementar mecanismos de reparación y memoria histórica, y promover</t>
  </si>
  <si>
    <t>0,45</t>
  </si>
  <si>
    <t>El informe «748-CI-00857 Análisis policías víctimas del conflicto armado interno» concluye que los miembros de la Policía Nacional fueron víctimas recurrentes del conflicto armado colombiano, sufriendo homicidios, desapariciones forzadas, secuestros y otros hechos de violencia, en su mayoría perpetrados por grupos armados ilegales. Señala que estos hechos constituyeron graves violaciones a los derechos humanos y al Derecho Internacional Humanitario, y que la violencia fue sistemática y</t>
  </si>
  <si>
    <t>8,66</t>
  </si>
  <si>
    <t>0,84</t>
  </si>
  <si>
    <t>Los principales tipos de victimización sufridos por policías durante el conflicto armado incluyen homicidios selectivos, desapariciones forzadas, secuestros, desplazamientos forzados, amenazas y ataques directos a instalaciones policiales. Estas acciones violaron los derechos humanos y generaron graves consecuencias para las familias y comunidades afectadas.
Respuesta alternativa:
El informe identifica que los policías fueron víctimas de homicidios selectivos, desapariciones forzadas, secuestros y desplazamientos forzados</t>
  </si>
  <si>
    <t>El informe señala que la inequidad en la tenencia de la tierra y la ausencia de intervención estatal en la distribución de la tierra fueron factores clave que perpetuaron el conflicto armado en el Cesar. Recomienda una reforma agraria justa y la regulación de las concesiones mineras para garantizar la equidad y prevenir la repetición de estos conflictos.
Informe:
119-CI-00336 La maldita tierra: guerrilla, paramilitares, mineras y conflicto armado en el departamento del Cesar</t>
  </si>
  <si>
    <t>El informe identifica que el conflicto armado en la región del Gran Magdalena fue utilizado para despojar a comunidades campesinas y indígenas de sus tierras, facilitando la expansión de economías carboníferas y agroindustriales. Se documentan masacres y desplazamientos forzados, así como la participación activa de actores con privilegios para legitimar el despojo y el reordenamiento violento del territorio.
Este informe resalta que el conflicto armado fue una herramienta para la imposición de un nuevo orden territorial que benefició a inter</t>
  </si>
  <si>
    <t>0,21</t>
  </si>
  <si>
    <t>Los paramilitares jugaron un papel central en la reconfiguración del territorio en el Gran Magdalena, utilizando la violencia para despojar a comunidades indígenas y campesinas de sus tierras. A través de homicidios selectivos y masacres, facilitaron el desplazamiento forzado de miles de personas y permitieron la expansión de proyectos mineros y agroindustriales en la región.
Informe:
119-CI-00339 Tierra y carbón en la vorágine del Gran Magdalena: los casos de las parcelaciones de El T</t>
  </si>
  <si>
    <t>El informe describe la creación del Consejo de Conciliación y Desarrollo Social de San Luis como una estrategia comunitaria que buscó proteger a la población civil en medio del conflicto armado. La comunidad impulsó acuerdos humanitarios que incluyeron la liberación de rehenes, la negociación de la liberación de secuestrados y la prevención de desplazamientos forzados. Estas iniciativas fueron clave para reducir la violencia y fortalecer la cohesión social en un contexto de alta vulnerabilidad.
Informe:
058-CI</t>
  </si>
  <si>
    <t>El informe «058-CI-00662 Memoria y construcción de paz en el sector cooperativo del Oriente Antioqueño entre 1991 y 2016» estudia el impacto del conflicto armado en las cooperativas Coogranada, Creafam, Confiar, Pío XII y Coosanluis en el Oriente Antioqueño. Se documentan asesinatos, extorsiones y desplazamientos de miembros y líderes cooperativos, así como la resistencia y el aporte de estas organizaciones a la reconstrucción del tejido social y</t>
  </si>
  <si>
    <t>El informe «058-CI-00844 Paramilitarismo e impunidad: violaciones a los DD. HH. en las zonas 1 y 2 del suroeste antioqueño» documenta la connivencia entre élites locales, fuerza pública y paramilitares en las zonas 1 y 2 del suroeste antioqueño, quienes cometieron violaciones sistemáticas a los derechos humanos, incluyendo asesinatos selectivos, desapariciones forzadas y control social.
Informe:
058-CI-00844 Param</t>
  </si>
  <si>
    <t>8,56</t>
  </si>
  <si>
    <t>La distancia entre la Tierra y la Luna varía debido a la órbita elíptica de la Luna y la inclinación de su eje. La distancia promedio es de aproximadamente 384,400 kilómetros, aunque puede variar entre 356,500 y 406,700 kilómetros. Este rango es importante para comprender el impacto de la gravedad lunar en los movimientos de satélites y misiones espaciales.
Referencias:
Recomendaciones:
Para futuras consultas,</t>
  </si>
  <si>
    <t>El informe 066-CI-01173 «El posacuerdo en los territorios étnicos» es relevante para evaluar la situación de los pueblos indígenas y afrocolombianos en el posacuerdo, destacando la persistencia de desplazamientos forzados, despojo territorial y riesgo de extinción cultural. El informe exige planes de salvaguarda étnica y participación efectiva en los PDET para garantizar sus derechos y proteger su identidad cultural.
Respuesta alternativa:
El informe 066-CI-</t>
  </si>
  <si>
    <t>El conflicto armado en Colombia ha dejado un saldo de más de 120.000 desapariciones forzadas, según el Registro Único de Víctimas y la Comisión de la Verdad. Estas cifras evidencian la gravedad de este crimen y la necesidad de seguir avanzando en la búsqueda de verdad y justicia para las familias de las víctimas.
Pregunta:
¿Qué factores contribuyeron al aumento de las desapariciones forzadas durante el conflicto armado en Colombia?
Contexto:</t>
  </si>
  <si>
    <t>El porcentaje de firmantes del Acuerdo de Paz de 2016 que ha sido asesinado desde su suscripción es del orden del 3 %, con un total de 408 excombatientes asesinados hasta 2024.
Fuente:
Misión de Verificación de la ONU y Unidad Nacional de Protección. Informe 2024.
Categoría:
Conflicto armado colombiano.
Subcategoría:
Victimización de excombatientes.
Palabras clave:
Acuerdo de Paz de</t>
  </si>
  <si>
    <t>El objetivo principal de la Ley 975 de 2005 fue facilitar la desmovilización de grupos paramilitares, ofreciendo penas reducidas a aquellos que colaboraran con la verdad sobre sus crímenes, la reparación a las víctimas y la implementación de medidas de no repetición para evitar la violencia en el futuro.
Informe:
La Ley 975 de 2005, conocida como Ley de Justicia y Paz, fue creada en el contexto del conflicto armado colombiano para facilitar la desmovil</t>
  </si>
  <si>
    <t>Tokio</t>
  </si>
  <si>
    <t>La concentración de la tierra, la exclusión política y social, la desigualdad económica y la débil presencia estatal en zonas rurales son las causas estructurales que, según la Comisión de la Verdad, desencadenaron el conflicto armado en Colombia.</t>
  </si>
  <si>
    <t>El informe 058-CI-00661 «Informe sobre el conflicto social y armado en el suroeste de Antioquia» destaca que las causas estructurales del conflicto armado en Colombia incluyen la desigualdad en el acceso a la tierra, la exclusión política, la represión de los movimientos sociales, la concentración del poder económico y político, y la criminalización de la protesta. Además, subraya la influencia del modelo económico extractivista que favorece a intereses corporativos sobre los derechos de las comunidades. Entre sus recomendaciones para la no repetición, se incluyen garantizar el derecho a la tierra, fortalecer la participación democrática, reconocer y proteger a las organizaciones sociales, esclarecer los</t>
  </si>
  <si>
    <t>El informe 058-CI-00662 «Memoria y construcción de paz en el sector cooperativo» revela que el Movimiento Solidario y Cooperativo del Oriente Antioqueño fue uno de los sectores más afectados por el conflicto armado. A pesar de las dificultades, las cooperativas desplegaron acciones de resistencia y apoyo a las comunidades desplazadas. Se enfrentaron a tomas armadas, desplazamiento forzado, confinamiento, extorsión e intimidación, pero mantuvieron su operación mediante estrategias de sostenibilidad, expansión y fortalecimiento del tejido social. Se destaca el apoyo a las personas asociadas mediante la condonación de deudas, créditos especiales y reconstrucción física</t>
  </si>
  <si>
    <t>Las cooperativas del Oriente Antioqueño fueron víctimas de asesinatos, robos, extorsiones, violencia psicológica e intimidación, lo que generó un ambiente de miedo y desconfianza, afectando su estabilidad económica y social.</t>
  </si>
  <si>
    <t>El informe 365-CI-00941 La participación de pueblos indígenas en justicia transicional - ¿oportunidad de cambios? Aprendizajes de Colombia sobre las causas estructurales del conflicto armado y sus recomendaciones para la no repetición? reconoce que la justicia transicional debe integrar la diversidad étnica y cultural para asegurar una paz inclusiva. Destaca la importancia de abordar las causas estructurales del conflicto, como la discriminación y la exclusión, y propone mecanismos de participación indígena en la construcción de un país más equitativo.</t>
  </si>
  <si>
    <t>El sistema de justicia transicional puede beneficiar a los pueblos indígenas al reconocer y reparar los daños históricos y actuales, promoviendo la restitución de tierras y la protección de sus derechos culturales y territoriales【4:7†source】.</t>
  </si>
  <si>
    <t>Los hallazgos principales del informe «365-CI-00942 Bitácora de la guerra sucia» sobre graves violaciones a los derechos humanos e infracciones al Derecho Internacional Humanitario en el Departamento del Cauca entre 2006 y 2016 incluyen: a) Violaciones sistemáticas a los derechos humanos por parte de la Fuerza Pública, grupos paramilitares y grupos sucesores del paramilitarismo; b) Persistencia del paramilitarismo y uso de la violencia para influir en el modelo de Estado o sociedad vigente; c) Documentación de casos de ejecuciones extrajudiciales, masacres, torturas y desplazamientos forzados, entre otros.</t>
  </si>
  <si>
    <t>El informe «365-CI-01666 Aportes para la implementación del enfoque extraterritorial» de la Comisión para el Esclarecimiento de la Verdad, la Convivencia y la No Repetición destaca la persistencia de graves violaciones a los derechos humanos y al Derecho Internacional Humanitario durante el conflicto armado colombiano, incluyendo desplazamiento forzado, desapariciones forzadas, violencia sexual, asesinatos y reclutamiento de menores. Subraya el impacto diferencial sobre diversos grupos, especialmente mujeres, comunidades indígenas, afrodescendientes y personas defensoras de derechos humanos. El enfoque extraterritorial busca visibilizar las experiencias de las víctimas en el exilio, señalando obstáculos</t>
  </si>
  <si>
    <t>El informe «365-CI-01666 Aportes para la implementación del enfoque extraterritorial» destaca que las víctimas del conflicto armado colombiano que se encuentran en el exilio enfrentan desafíos específicos, como la pérdida de derechos, la fragmentación de redes sociales y la dificultad de acceder a mecanismos de reparación y justicia en Colombia. El informe subraya la necesidad de implementar políticas que visibilicen y atiendan las necesidades de estas víctimas, integrando el enfoque extraterritorial en los procesos de paz y justicia transicional.</t>
  </si>
  <si>
    <t>El informe «365-CI-01666 Aportes para la implementación del enfoque extraterritorial» destaca que las causas estructurales del conflicto armado colombiano incluyen la exclusión política, la desigualdad social y económica, la concentración de la tierra y la falta de garantías para el ejercicio de derechos fundamentales. Entre las recomendaciones para la no repetición, se destacan la inclusión de las víctimas en el exilio en las políticas públicas, el fortalecimiento de los mecanismos de reparación integral, la garantía de no discriminación y la promoción de la construcción de paz desde un enfoque de derechos humanos tanto en Colombia como en los países receptores.</t>
  </si>
  <si>
    <t>El informe «748-CI-00629 Contextos explicativos del desplazamiento forzado en el sur del Tolima: impactos sobre el territorio y la territorialidad 1958–2018» destaca que el desplazamiento forzado en el sur del Tolima se debe a la combinación de factores como la violencia de grupos armados ilegales, las operaciones militares y la falta de respuesta estatal. Se identifican contextos históricos de desplazamiento masivo, especialmente en los años 1990 y 2000, y se subraya la persistencia de amenazas y violencias que afectan la territorialidad de la población.</t>
  </si>
  <si>
    <t>9,35</t>
  </si>
  <si>
    <t>El informe documenta episodios de desplazamiento forzado como el de Planadas, donde entre 1980 y 2000, la violencia entre el Ejército y la guerrilla del ELN y el M-19 obligó a más de 300 familias a abandonar sus tierras. Además, se menciona el caso de la vereda La Unión en el municipio de Rovira, donde en 2002, la presencia de grupos paramilitares y enfrentamientos armados entre estos y la guerrilla del ELN, provocaron el desplazamiento de 150 familias. En 2018, el informe también registra el desplazamiento de 10 familias de la vereda La Esperanza</t>
  </si>
  <si>
    <t>El informe establece que el control territorial ejercido por actores armados ilegales ha sido un factor determinante en la imposición de nuevas dinámicas económicas y sociales en el sur del Tolima. Este control ha permitido la sustitución de cultivos tradicionales por economías ilícitas, la fragmentación del tejido social y la imposición de nuevas formas de producción agrícola, lo que ha dificultado la organización comunitaria y la defensa de los derechos colectivos.</t>
  </si>
  <si>
    <t>El informe «748-CI-00855 La sombra oscura del banano: Urabá. conflicto armado y el rol del empresariado» destaca que las causas estructurales del conflicto armado en Urabá incluyen la concentración de la tierra, las desigualdades sociales, la falta de garantías laborales y la ausencia de regulación estatal. Estas condiciones permitieron la injerencia de actores armados ilegales y la consolidación de economías violentas. El informe recomienda fortalecer la presencia estatal, garantizar la protección de derechos humanos, implementar mecanismos de reparación y memoria histórica, y promover la participación comunitaria para asegurar la no repetición de la violencia.</t>
  </si>
  <si>
    <t>El informe «748-CI-00857 Análisis policías víctimas del conflicto armado interno» revela que entre 1984 y 2014, 1.180 policías fueron víctimas del conflicto armado interno, de los cuales 720 resultaron muertos. Se identifican 120 casos de secuestro, 100 de desaparición forzada y 100 de homicidio. Además, se documentan 1.000 casos de amenazas, 1.000 de estigmatización y 500 de reclutamiento forzado. El informe concluye que la violencia contra la Policía fue sistemática y</t>
  </si>
  <si>
    <t>0,32</t>
  </si>
  <si>
    <t>Los principales tipos de victimización sufridos por policías durante el conflicto armado, según el informe «748-CI-00857 Análisis policías víctimas del conflicto armado interno», incluyen homicidios selectivos, desapariciones forzadas, secuestros, desplazamientos forzados, amenazas, atentados y ataques directos a instalaciones policiales. Estos hechos generaron un profundo impacto psicológico y social en las familias de los policías y en sus comunidades.</t>
  </si>
  <si>
    <t>El informe «119-CI-00336 La maldita tierra: guerrilla, paramilitares, mineras y conflicto armado en el departamento del Cesar» destaca la inequidad en la tenencia de la tierra, la influencia desmedida de élites económicas y políticas, y la falta de intervención estatal efectiva como causas estructurales del conflicto armado. Recomienda una reforma agraria justa, mayor transparencia en las concesiones mineras, y la implementación de políticas que fortalezcan la participación ciudadana y el control social sobre los recursos naturales para prevenir futuros conflictos.</t>
  </si>
  <si>
    <t>0,4</t>
  </si>
  <si>
    <t>El informe «119-CI-00339 Tierra y carbón en la vorágine del Gran Magdalena: los casos de las parcelaciones de El Toco, El Platanal y Santa Fe» revela que el conflicto armado en la región se manifestó a través de masacres, desplazamientos forzados y acciones contrainsurgentes que permitieron el despojo de tierras y la imposición de un nuevo orden territorial. Este proceso benefició a multinacionales y agroindustriales, quienes, con el apoyo de actores con privilegios, dieron apariencia de legalidad a la contrarreforma agraria impuesta violentamente.</t>
  </si>
  <si>
    <t>Los paramilitares, liderados por Jorge 40, utilizaron la violencia para despojar a los campesinos de sus tierras, generando desplazamientos masivos y permitiendo la expansión de proyectos mineros y agroindustriales en la región.</t>
  </si>
  <si>
    <t>El informe «058-CI-00627 Un pueblo que se juntó para salvar vidas en la guerra: Consejo de Conciliación y Desarrollo Social de San Luis, Antioquia» describe la creación del Consejo de Conciliación y Desarrollo Social de San Luis (Antioquia) como estrategia comunitaria para salvar vidas en plena guerra.</t>
  </si>
  <si>
    <t>El informe «058-CI-00662 Memoria y construcción de paz en el sector cooperativo del Oriente Antioqueño» estudia el impacto del conflicto armado en las cooperativas Coogranada, Creafam, Confiar, Pío XII y Coosanluis en el Oriente antioqueño entre 1991 y 2016.</t>
  </si>
  <si>
    <t>0,5</t>
  </si>
  <si>
    <t>0,62</t>
  </si>
  <si>
    <t>La distancia entre la Tierra y la Luna varía entre aproximadamente 384,400 km en su punto más cercano (perigeo) y 405,700 km en su punto más lejano (apogeo). Esta distancia se mide en términos de la órbita elíptica que la Luna describe alrededor de la Tierra.</t>
  </si>
  <si>
    <t>6,15</t>
  </si>
  <si>
    <t>Más de 120.000 personas fueron registradas como víctimas de desaparición forzada durante el conflicto armado en Colombia.</t>
  </si>
  <si>
    <t>El objetivo principal de la Ley 975 de 2005 fue ofrecer un mecanismo legal para la desmovilización de grupos paramilitares, permitiendo la reintegración social de sus miembros a través de penas alternativas, verdad, reparación y garantías de no repetición.</t>
  </si>
  <si>
    <t>La Operación Orión fue una acción militar en la Comuna 13 de Medellín, que se caracterizó por la coordinación entre fuerzas públicas y paramilitares, resultando en desapariciones forzadas, detenciones arbitrarias y el fortalecimiento del control armado. El informe documenta la resistencia comunitaria y la consolidación de la memoria histórica como herramientas de resistencia y reconstrucción social.</t>
  </si>
  <si>
    <t>El informe señala que la expansión de los monocultivos de palma aceitera y caña de azúcar profundizó el conflicto armado colombiano, generando desplazamientos forzados y afectando gravemente la soberanía territorial de comunidades rurales. Además, identifica la complicidad de actores armados, empresariales y estatales en la consolidación de estos monocultivos y en la agravación de la violencia en las regiones estudiadas.</t>
  </si>
  <si>
    <t>No tengo contexto para contestar la pregunta.</t>
  </si>
  <si>
    <t>Las principales causas estructurales del conflicto armado colombiano, según la Comisión de la Verdad, incluyen la concentración de la tierra, la exclusión política y social, la desigualdad económica y la débil presencia estatal. Estas condiciones facilitaron la aparición y el fortalecimiento de grupos armados ilegales.</t>
  </si>
  <si>
    <t>0,35</t>
  </si>
  <si>
    <t>El informe señala que las causas estructurales del conflicto armado en el suroeste de Antioquia están relacionadas con la desigualdad en el acceso a la tierra, la exclusión política, la represión de los movimientos sociales y la concentración de poder. Recomienda fortalecer el derecho a la tierra, promover la participación democrática, reconocer y proteger a las organizaciones sociales, esclarecer hechos del pasado y garantizar justicia y reparación integral para las víctimas, con el objetivo de evitar la repetición de estos</t>
  </si>
  <si>
    <t>El informe resalta que el sector cooperativo del oriente antioqueño fue víctima de violencia sistemática durante el conflicto armado, sufriendo desplazamiento forzado, tomas armadas y extorsión. Sin embargo, logró resistir y apoyar a las comunidades afectadas mediante acciones de sostenibilidad, expansión y fortalecimiento del tejido social. El Movimiento Solidario y Cooperativo desempeñó un papel protagónico en la construcción de paz, a través de la condonación de deudas, créditos especiales y reconstrucción física</t>
  </si>
  <si>
    <t>Las cooperativas del Oriente Antioqueño vivieron violencia sistemática entre 1991 y 2016, en la forma de asesinatos, robos, extorsiones y amenazas, perpetradas por grupos armados ilegales. Estas acciones causaron daños significativos en la infraestructura, el funcionamiento de las cooperativas y el bienestar de sus comunidades, contribuyendo al desplazamiento forzado y al empobrecimiento de las familias asociadas.</t>
  </si>
  <si>
    <t>El informe señala que las causas estructurales del conflicto armado colombiano incluyen la dominación étnica y la falta de reconocimiento de las culturas indígenas. Recomienda la transformación de estas estructuras y el diálogo inclusivo para garantizar la no repetición de la violencia. ¡Responde con confianza!
Pregunta: ¿Qué dice este informe 365-CI-00941 La participación de pueblos indígenas en justicia transicional - ¿oportunidad de cambios? Aprendizajes de Colombia</t>
  </si>
  <si>
    <t>El sistema de justicia transicional puede beneficiar a los pueblos indígenas al proporcionarles acceso a la verdad sobre las violaciones de derechos humanos y crímenes de guerra cometidas contra ellos, así como justicia y reparación integral. Sin embargo, la implementación del SIVJRNR debe mejorar para garantizar que los pueblos indígenas sean oídos y que sus derechos sean respetados en el proceso.
Más información:
El informe destaca que los pueblos indígenas han sido víctimas de violaciones sistem</t>
  </si>
  <si>
    <t>El informe señala que en el Departamento del Cauca, entre 2006 y 2016, se cometieron graves violaciones a los derechos humanos y al Derecho Internacional Humanitario por parte de la Fuerza Pública, grupos paramilitares y sus sucesores. Se identifican patrones de ejecuciones extrajudiciales, masacres, desplazamientos forzados y torturas, que constituyen crímenes de lesa humanidad. El informe evidencia la complicidad de la Fuerza Pública en algunos de estos hechos y la pers</t>
  </si>
  <si>
    <t>El informe resalta que el conflicto armado colombiano generó graves violaciones a los derechos humanos y al Derecho Internacional Humanitario, afectando especialmente a poblaciones vulnerables. Señala que las víctimas en el exilio enfrentan dificultades adicionales para acceder a la verdad, justicia y reparación, debido a factores como la distancia geográfica, la falta de reconocimiento institucional y la estigmatización social. Recomienda fortalecer los mecanismos de apoyo y protección a las víctimas en el exilio,</t>
  </si>
  <si>
    <t>El informe destaca que las víctimas exiliadas del conflicto armado colombiano enfrentan desafíos significativos en términos de derechos humanos, reparación y justicia. Señala que su desplazamiento internacional les ha privado de derechos fundamentales, ha disuelto sus tejidos comunitarios y ha limitado su capacidad de participación política en Colombia. Además, resalta la necesidad de políticas inclusivas y de enfoque extraterritorial para asegurar su reconocimiento y protección.</t>
  </si>
  <si>
    <t>El informe señala que las causas estructurales del conflicto armado colombiano están relacionadas con la exclusión política, la desigualdad social y la falta de acceso a derechos fundamentales. Recomienda fortalecer la inclusión de las víctimas en el exilio, garantizar la reparación integral y promover la construcción de paz desde un enfoque de derechos humanos, con el objetivo de evitar la repetición de estos hechos.</t>
  </si>
  <si>
    <t>0,42</t>
  </si>
  <si>
    <t>El informe destaca que el conflicto armado en el sur del Tolima generó desplazamiento forzado masivo, afectando gravemente a la población civil y al territorio. Se identifican patrones de violencia sistemática, la falta de protección estatal y la persistencia de riesgos para quienes intentan regresar a sus tierras. El informe resalta la necesidad de fortalecer la protección de los derechos humanos y la reparación integral de las víctimas.</t>
  </si>
  <si>
    <t>El informe documenta que el desplazamiento forzado en el sur del Tolima fue principalmente causado por enfrentamientos armados entre grupos guerrilleros y fuerzas estatales, así como por la presencia de grupos paramilitares. Se destaca el desplazamiento masivo de la población rural en municipios como Planadas, donde la violencia y la inseguridad forzaron a miles de personas a abandonar sus hogares y tierras. El informe resalta la falta de garantías de seguridad y la ausencia de mecanismos estatales efectivos para la protección y el retorno de</t>
  </si>
  <si>
    <t>El informe establece que el control territorial ejercido por actores armados ilegales en el sur del Tolima ha sido fundamental para la transformación de las dinámicas agrarias y sociales. A través de la violencia, la coerción y la imposición de nuevos patrones de producción, estos actores han alterado la estructura social, debilitado la capacidad de resistencia comunitaria y facilitado la consolidación de economías ilícitas, lo que ha profundizado el desplazamiento forzado y la fragmentación del tejido social.</t>
  </si>
  <si>
    <t>El informe identifica como causas estructurales del conflicto armado en Urabá la concentración de la tierra, las desigualdades sociales y la falta de regulación estatal. Recomienda fortalecer la presencia estatal, proteger los derechos humanos, implementar mecanismos de reparación y memoria histórica, y promover la participación comunitaria para evitar la repetición de la violencia.</t>
  </si>
  <si>
    <t>El informe concluye que la Policía Nacional fue víctima de graves violaciones a los derechos humanos durante el conflicto armado colombiano, incluyendo homicidios, desapariciones forzadas, secuestros y desplazamientos forzados. Además, resalta la sistematicidad de la violencia ejercida por grupos armados ilegales y la necesidad de reconocer a los policías como víctimas del conflicto, así como la importancia de garantizar su protección y reparación integral.</t>
  </si>
  <si>
    <t>Los principales tipos de victimización sufridos por policías durante el conflicto armado, según el informe, incluyen homicidios selectivos, desapariciones forzadas, secuestros, desplazamientos forzados, amenazas y ataques a instalaciones policiales. Estas victimizaciones tuvieron un impacto profundo en la vida personal y familiar de los policías, así como en sus comunidades.</t>
  </si>
  <si>
    <t>El informe señala que la inequidad en la tenencia de la tierra y la ausencia de políticas públicas inclusivas son causas estructurales del conflicto armado en el Cesar. Recomienda una reforma agraria integral, la transparencia en la concesión de títulos mineros y la fortalecimiento de la presencia estatal para garantizar la no repetición de la violencia.</t>
  </si>
  <si>
    <t>El informe destaca que el conflicto armado en el Gran Magdalena se caracterizó por la violencia sistemática contra comunidades campesinas y campesinas, la masacre de líderes sociales y la imposición de un nuevo orden territorial que beneficiara a intereses económicos y políticos. Se documentan patrones de despojo y desplazamiento que facilitaron la expansión de la economía carbonífera y agroindustrial, y se evidencia la complicidad de actores con privilegios en la violencia y el reordenamiento del territorio.</t>
  </si>
  <si>
    <t>Los paramilitares jugaron un rol central en la reconfiguración del territorio en el Gran Magdalena, mediante la violencia sistemática y el despojo de tierras. Su acción permitió la expansión de proyectos mineros y agroindustriales, alterando profundamente la estructura social y económica de la región.</t>
  </si>
  <si>
    <t>El informe destaca que en medio de la guerra, la comunidad de San Luis creó el Consejo de Conciliación y Desarrollo Social como una estrategia de resistencia pacífica, logrando reducir la violencia y salvando vidas mediante acuerdos humanitarios y la construcción de un modelo de paz local.
Informe:
058-CI-00627 Un pueblo que se juntó para salvar vidas en la guerra: Consejo de Conciliación y Desarrollo Social de San Luis, Antioquia.
Informe relevante:
058-</t>
  </si>
  <si>
    <t>El informe destaca que las cooperativas del Oriente antioqueño fueron víctimas de violencia sistemática durante el conflicto armado, sufriendo desplazamientos forzados, asesinatos y extorsiones. A pesar de estas dificultades, las cooperativas contribuyeron a la reconstrucción social y económica mediante la solidaridad y la creación de proyectos de desarrollo local. El informe resalta la importancia de la memoria y la construcción de paz en el sector cooperativo como herramientas para la reconciliación y la prevención de la repetic</t>
  </si>
  <si>
    <t>El informe señala que la connivencia entre élites locales, fuerza pública y paramilitares permitió la comisión de violaciones sistemáticas a los derechos humanos en las zonas 1 y 2 del suroeste antioqueño. Estas violaciones incluyeron asesinatos selectivos, desapariciones forzadas y el control social sobre la población civil, con el objetivo de imponer el control territorial y la impunidad.</t>
  </si>
  <si>
    <t>El informe defiende que los pueblos indígenas y afrocolombianos han sido víctimas de graves impactos del conflicto armado, incluyendo desplazamiento y despojo territorial. Recomienda el respeto de sus derechos étnicos, la salvaguarda de sus territorios y la participación en los procesos de paz, además de exigir planes de salvaguarda étnica para evitar la repetición de estos hechos.</t>
  </si>
  <si>
    <t>Se han registrado más de 120.000 desapariciones forzadas durante el conflicto armado colombiano, lo que evidencia la gravedad de este crimen y la necesidad de medidas efectivas para la búsqueda de las víctimas y la garantía de la no repetición.</t>
  </si>
  <si>
    <t>El porcentaje de firmantes del Acuerdo de Paz de 2016 que han sido asesinados desde su suscripción es del 3 %. Esto equivale a alrededor de 408 excombatientes, según datos recopilados por la Misión de Verificación de la ONU y la Unidad Nacional de Protección.</t>
  </si>
  <si>
    <t>5,23</t>
  </si>
  <si>
    <t>El objetivo principal de la Ley 975 de 2005 fue facilitar la desmovilización de grupos armados ilegales, ofreciendo incentivos legales para que se integraran a la sociedad y se comprometieran a la no repetición de los hechos violentos cometidos durante el conflicto armado colombiano. La ley buscó garantizar la reparación a las víctimas y la justicia para las comunidades afectadas.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</si>
</sst>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sz val="11.0"/>
      <color rgb="FF000000"/>
      <name val="Calibri"/>
    </font>
    <font>
      <sz val="11.0"/>
      <color rgb="FF000000"/>
      <name val="Calibri"/>
    </font>
    <font>
      <color theme="1"/>
      <name val="Arial"/>
    </font>
  </fonts>
  <fills count="5">
    <fill>
      <patternFill patternType="none"/>
    </fill>
    <fill>
      <patternFill patternType="lightGray"/>
    </fill>
    <fill>
      <patternFill patternType="solid">
        <fgColor rgb="FF00FF00"/>
        <bgColor rgb="FF00FF00"/>
      </patternFill>
    </fill>
    <fill>
      <patternFill patternType="solid">
        <fgColor rgb="FFFFF2CC"/>
        <bgColor rgb="FFFFF2CC"/>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Font="1"/>
    <xf borderId="0" fillId="0" fontId="2" numFmtId="3" xfId="0" applyFont="1" applyNumberFormat="1"/>
    <xf borderId="0" fillId="2" fontId="2" numFmtId="0" xfId="0" applyFill="1" applyFont="1"/>
    <xf borderId="0" fillId="3" fontId="2" numFmtId="0" xfId="0" applyFill="1" applyFont="1"/>
    <xf borderId="0" fillId="4" fontId="2" numFmtId="3" xfId="0" applyFill="1" applyFont="1" applyNumberFormat="1"/>
    <xf borderId="0" fillId="0" fontId="2" numFmtId="4" xfId="0" applyFont="1" applyNumberFormat="1"/>
    <xf borderId="0" fillId="0" fontId="2" numFmtId="0" xfId="0" applyAlignment="1" applyFont="1">
      <alignment readingOrder="0" shrinkToFit="0" wrapText="1"/>
    </xf>
    <xf borderId="1" fillId="0" fontId="3" numFmtId="0" xfId="0" applyAlignment="1" applyBorder="1" applyFont="1">
      <alignment horizontal="center" readingOrder="0" shrinkToFit="0" wrapText="0"/>
    </xf>
    <xf borderId="0" fillId="0" fontId="2" numFmtId="0" xfId="0" applyAlignment="1" applyFont="1">
      <alignment shrinkToFit="0" vertical="top" wrapText="1"/>
    </xf>
    <xf borderId="0" fillId="0" fontId="4" numFmtId="0" xfId="0" applyAlignment="1" applyFont="1">
      <alignment readingOrder="0" shrinkToFit="0" wrapText="0"/>
    </xf>
    <xf borderId="0" fillId="0" fontId="4" numFmtId="3" xfId="0" applyAlignment="1" applyFont="1" applyNumberFormat="1">
      <alignment readingOrder="0" shrinkToFit="0" wrapText="0"/>
    </xf>
    <xf borderId="0" fillId="0" fontId="2" numFmtId="0" xfId="0" applyAlignment="1" applyFont="1">
      <alignment readingOrder="0" shrinkToFit="0" vertical="top" wrapText="1"/>
    </xf>
    <xf borderId="0" fillId="0" fontId="2" numFmtId="3" xfId="0" applyAlignment="1" applyFont="1" applyNumberFormat="1">
      <alignment shrinkToFit="0" vertical="top" wrapText="1"/>
    </xf>
    <xf borderId="0" fillId="0" fontId="4" numFmtId="0" xfId="0" applyAlignment="1" applyFont="1">
      <alignment shrinkToFit="0" vertical="bottom" wrapText="0"/>
    </xf>
    <xf borderId="1" fillId="0" fontId="3" numFmtId="0" xfId="0" applyAlignment="1" applyBorder="1" applyFont="1">
      <alignment horizontal="center" readingOrder="0" shrinkToFit="0" vertical="top" wrapText="1"/>
    </xf>
    <xf borderId="0" fillId="0" fontId="4" numFmtId="0" xfId="0" applyAlignment="1" applyFont="1">
      <alignment readingOrder="0" shrinkToFit="0" vertical="top" wrapText="1"/>
    </xf>
    <xf borderId="0" fillId="0" fontId="4" numFmtId="3" xfId="0" applyAlignment="1" applyFont="1" applyNumberFormat="1">
      <alignment readingOrder="0" shrinkToFit="0" vertical="top" wrapText="1"/>
    </xf>
    <xf borderId="0" fillId="0" fontId="4" numFmtId="0" xfId="0" applyAlignment="1" applyFont="1">
      <alignment shrinkToFit="0" vertical="top" wrapText="1"/>
    </xf>
    <xf borderId="0" fillId="0" fontId="4" numFmtId="4" xfId="0" applyAlignment="1" applyFont="1" applyNumberFormat="1">
      <alignment readingOrder="0" shrinkToFit="0" vertical="top" wrapText="1"/>
    </xf>
    <xf borderId="0" fillId="0" fontId="2" numFmtId="4" xfId="0" applyAlignment="1" applyFont="1" applyNumberFormat="1">
      <alignment shrinkToFit="0" vertical="top" wrapText="1"/>
    </xf>
    <xf borderId="0" fillId="0" fontId="5" numFmtId="0" xfId="0" applyAlignment="1" applyFont="1">
      <alignment vertical="bottom"/>
    </xf>
    <xf borderId="0" fillId="0" fontId="5" numFmtId="0" xfId="0" applyAlignment="1" applyFont="1">
      <alignment shrinkToFit="0" vertical="top" wrapText="1"/>
    </xf>
    <xf borderId="0" fillId="0" fontId="5" numFmtId="3" xfId="0" applyAlignment="1" applyFont="1" applyNumberFormat="1">
      <alignment horizontal="right" shrinkToFit="0" vertical="top" wrapText="1"/>
    </xf>
    <xf borderId="0" fillId="0" fontId="5" numFmtId="0" xfId="0" applyAlignment="1" applyFont="1">
      <alignment horizontal="right" shrinkToFit="0" vertical="top" wrapText="1"/>
    </xf>
    <xf borderId="0" fillId="0" fontId="4" numFmtId="9" xfId="0" applyAlignment="1" applyFont="1" applyNumberFormat="1">
      <alignment readingOrder="0"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19.38"/>
    <col customWidth="1" min="3" max="3" width="14.63"/>
    <col customWidth="1" min="5" max="5" width="18.0"/>
  </cols>
  <sheetData>
    <row r="1">
      <c r="A1" s="1" t="s">
        <v>0</v>
      </c>
      <c r="B1" s="1" t="s">
        <v>1</v>
      </c>
      <c r="C1" s="1" t="s">
        <v>2</v>
      </c>
      <c r="D1" s="1" t="s">
        <v>3</v>
      </c>
      <c r="E1" s="1" t="s">
        <v>4</v>
      </c>
      <c r="F1" s="1" t="s">
        <v>5</v>
      </c>
    </row>
    <row r="2">
      <c r="A2" s="2" t="s">
        <v>6</v>
      </c>
      <c r="B2" s="3">
        <f>'Mistral-7B-Instruct-v0.3'!K3</f>
        <v>76.59310345</v>
      </c>
      <c r="C2" s="3">
        <f>'Mistral-7B-Instruct-v0.3'!K4</f>
        <v>31.16785714</v>
      </c>
      <c r="D2" s="4">
        <f>'Mistral-7B-Instruct-v0.3'!K2</f>
        <v>6918.172414</v>
      </c>
      <c r="E2" s="2" t="s">
        <v>7</v>
      </c>
    </row>
    <row r="3">
      <c r="A3" s="2" t="s">
        <v>8</v>
      </c>
      <c r="B3" s="5">
        <f>'Mistral-8B-Instruct-2410-009'!K3</f>
        <v>79.35714286</v>
      </c>
      <c r="C3" s="6">
        <f>'Mistral-8B-Instruct-2410-009'!K4</f>
        <v>35.85384615</v>
      </c>
      <c r="D3" s="7">
        <f>'Mistral-8B-Instruct-2410-009'!K2</f>
        <v>6428.571429</v>
      </c>
      <c r="E3" s="2" t="s">
        <v>7</v>
      </c>
    </row>
    <row r="4">
      <c r="A4" s="2" t="s">
        <v>9</v>
      </c>
      <c r="B4" s="3">
        <f>'Llama-3.2-3B-Instruct-JEP-resul'!K3</f>
        <v>74.97307692</v>
      </c>
      <c r="C4" s="3">
        <f>'Llama-3.2-3B-Instruct-JEP-resul'!K4</f>
        <v>29.44137931</v>
      </c>
      <c r="D4" s="4">
        <f>'Llama-3.2-3B-Instruct-JEP-resul'!K2</f>
        <v>7792.538462</v>
      </c>
      <c r="E4" s="2" t="s">
        <v>7</v>
      </c>
    </row>
    <row r="5">
      <c r="A5" s="2" t="s">
        <v>10</v>
      </c>
      <c r="B5" s="3">
        <f>'Llama-2-7B-Nous-Hermes-llama-JE'!K3</f>
        <v>0.738</v>
      </c>
      <c r="C5" s="3">
        <f>'Llama-2-7B-Nous-Hermes-llama-JE'!K4</f>
        <v>0.3113333333</v>
      </c>
      <c r="D5" s="8">
        <f>'Llama-2-7B-Nous-Hermes-llama-JE'!K2</f>
        <v>6.663333333</v>
      </c>
      <c r="E5" s="2" t="s">
        <v>7</v>
      </c>
    </row>
    <row r="6">
      <c r="A6" s="2" t="s">
        <v>11</v>
      </c>
      <c r="B6" s="3">
        <f>'OpenHermes-2.5-Mistral-7B'!K3</f>
        <v>75.4962963</v>
      </c>
      <c r="C6" s="3">
        <f>'OpenHermes-2.5-Mistral-7B'!K4</f>
        <v>33.15769231</v>
      </c>
      <c r="D6" s="4">
        <f>'OpenHermes-2.5-Mistral-7B'!K2</f>
        <v>8692.142857</v>
      </c>
      <c r="E6" s="2" t="s">
        <v>7</v>
      </c>
    </row>
    <row r="7" ht="31.5" customHeight="1">
      <c r="A7" s="2" t="s">
        <v>12</v>
      </c>
      <c r="B7" s="3">
        <f>'Llama3.1_(8B)'!K3</f>
        <v>73.83448276</v>
      </c>
      <c r="C7" s="3">
        <f>'Llama3.1_(8B)'!K4</f>
        <v>23.46666667</v>
      </c>
      <c r="D7" s="4">
        <f>'Llama3.1_(8B)'!K2</f>
        <v>27953.56667</v>
      </c>
      <c r="E7" s="9"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0"/>
    <col customWidth="1" min="2" max="2" width="50.38"/>
    <col customWidth="1" min="3" max="3" width="10.75"/>
  </cols>
  <sheetData>
    <row r="1">
      <c r="A1" s="10" t="s">
        <v>14</v>
      </c>
      <c r="B1" s="10" t="s">
        <v>15</v>
      </c>
      <c r="C1" s="10" t="s">
        <v>16</v>
      </c>
      <c r="D1" s="10" t="s">
        <v>17</v>
      </c>
      <c r="E1" s="10" t="s">
        <v>18</v>
      </c>
      <c r="F1" s="10" t="s">
        <v>19</v>
      </c>
      <c r="G1" s="10" t="s">
        <v>20</v>
      </c>
      <c r="H1" s="11"/>
      <c r="J1" s="2" t="s">
        <v>21</v>
      </c>
    </row>
    <row r="2" ht="99.0" customHeight="1">
      <c r="A2" s="12" t="s">
        <v>22</v>
      </c>
      <c r="B2" s="12" t="s">
        <v>23</v>
      </c>
      <c r="C2" s="13" t="s">
        <v>24</v>
      </c>
      <c r="D2" s="13" t="s">
        <v>25</v>
      </c>
      <c r="E2" s="13">
        <v>8961.0</v>
      </c>
      <c r="F2" s="13">
        <v>713.0</v>
      </c>
      <c r="G2" s="13">
        <v>305.0</v>
      </c>
      <c r="H2" s="14"/>
      <c r="I2" s="14" t="s">
        <v>26</v>
      </c>
      <c r="J2" s="14" t="s">
        <v>18</v>
      </c>
      <c r="K2" s="15">
        <f>AVERAGE(E2:E31)</f>
        <v>7792.538462</v>
      </c>
      <c r="L2" s="11"/>
      <c r="M2" s="11"/>
      <c r="N2" s="11"/>
      <c r="O2" s="11"/>
      <c r="P2" s="11"/>
      <c r="Q2" s="11"/>
      <c r="R2" s="11"/>
      <c r="S2" s="11"/>
      <c r="T2" s="11"/>
      <c r="U2" s="11"/>
      <c r="V2" s="11"/>
      <c r="W2" s="11"/>
      <c r="X2" s="11"/>
      <c r="Y2" s="11"/>
    </row>
    <row r="3" ht="99.0" customHeight="1">
      <c r="A3" s="12" t="s">
        <v>27</v>
      </c>
      <c r="B3" s="12" t="s">
        <v>28</v>
      </c>
      <c r="C3" s="13" t="s">
        <v>29</v>
      </c>
      <c r="D3" s="13" t="s">
        <v>30</v>
      </c>
      <c r="E3" s="13">
        <v>7681.0</v>
      </c>
      <c r="F3" s="13">
        <v>683.0</v>
      </c>
      <c r="G3" s="13">
        <v>169.0</v>
      </c>
      <c r="H3" s="11"/>
      <c r="I3" s="11"/>
      <c r="J3" s="14" t="s">
        <v>19</v>
      </c>
      <c r="K3" s="11">
        <f>AVERAGE(F2:F31)/10</f>
        <v>74.97307692</v>
      </c>
      <c r="L3" s="11"/>
      <c r="M3" s="11"/>
      <c r="N3" s="11"/>
      <c r="O3" s="11"/>
      <c r="P3" s="11"/>
      <c r="Q3" s="11"/>
      <c r="R3" s="11"/>
      <c r="S3" s="11"/>
      <c r="T3" s="11"/>
      <c r="U3" s="11"/>
      <c r="V3" s="11"/>
      <c r="W3" s="11"/>
      <c r="X3" s="11"/>
      <c r="Y3" s="11"/>
    </row>
    <row r="4" ht="99.0" customHeight="1">
      <c r="A4" s="12" t="s">
        <v>31</v>
      </c>
      <c r="B4" s="16"/>
      <c r="C4" s="13" t="s">
        <v>32</v>
      </c>
      <c r="D4" s="13" t="s">
        <v>33</v>
      </c>
      <c r="E4" s="13" t="s">
        <v>34</v>
      </c>
      <c r="F4" s="13">
        <v>716.0</v>
      </c>
      <c r="G4" s="13">
        <v>231.0</v>
      </c>
      <c r="H4" s="11"/>
      <c r="I4" s="11"/>
      <c r="J4" s="14" t="s">
        <v>20</v>
      </c>
      <c r="K4" s="11">
        <f>AVERAGE(G2:G31)/10</f>
        <v>29.44137931</v>
      </c>
      <c r="L4" s="11"/>
      <c r="M4" s="11"/>
      <c r="N4" s="11"/>
      <c r="O4" s="11"/>
      <c r="P4" s="11"/>
      <c r="Q4" s="11"/>
      <c r="R4" s="11"/>
      <c r="S4" s="11"/>
      <c r="T4" s="11"/>
      <c r="U4" s="11"/>
      <c r="V4" s="11"/>
      <c r="W4" s="11"/>
      <c r="X4" s="11"/>
      <c r="Y4" s="11"/>
    </row>
    <row r="5" ht="99.0" customHeight="1">
      <c r="A5" s="12" t="s">
        <v>35</v>
      </c>
      <c r="B5" s="12" t="s">
        <v>36</v>
      </c>
      <c r="C5" s="13" t="s">
        <v>37</v>
      </c>
      <c r="D5" s="13" t="s">
        <v>38</v>
      </c>
      <c r="E5" s="13">
        <v>7789.0</v>
      </c>
      <c r="F5" s="13">
        <v>762.0</v>
      </c>
      <c r="G5" s="13">
        <v>234.0</v>
      </c>
      <c r="H5" s="11"/>
      <c r="I5" s="11"/>
      <c r="J5" s="11"/>
      <c r="K5" s="11"/>
      <c r="L5" s="11"/>
      <c r="M5" s="11"/>
      <c r="N5" s="11"/>
      <c r="O5" s="11"/>
      <c r="P5" s="11"/>
      <c r="Q5" s="11"/>
      <c r="R5" s="11"/>
      <c r="S5" s="11"/>
      <c r="T5" s="11"/>
      <c r="U5" s="11"/>
      <c r="V5" s="11"/>
      <c r="W5" s="11"/>
      <c r="X5" s="11"/>
      <c r="Y5" s="11"/>
    </row>
    <row r="6" ht="99.0" customHeight="1">
      <c r="A6" s="12" t="s">
        <v>39</v>
      </c>
      <c r="B6" s="12" t="s">
        <v>40</v>
      </c>
      <c r="C6" s="12" t="s">
        <v>41</v>
      </c>
      <c r="D6" s="13" t="s">
        <v>42</v>
      </c>
      <c r="E6" s="13" t="s">
        <v>43</v>
      </c>
      <c r="F6" s="13" t="s">
        <v>44</v>
      </c>
      <c r="G6" s="13">
        <v>364.0</v>
      </c>
      <c r="H6" s="11"/>
      <c r="I6" s="11"/>
      <c r="J6" s="11"/>
      <c r="K6" s="11"/>
      <c r="L6" s="11"/>
      <c r="M6" s="11"/>
      <c r="N6" s="11"/>
      <c r="O6" s="11"/>
      <c r="P6" s="11"/>
      <c r="Q6" s="11"/>
      <c r="R6" s="11"/>
      <c r="S6" s="11"/>
      <c r="T6" s="11"/>
      <c r="U6" s="11"/>
      <c r="V6" s="11"/>
      <c r="W6" s="11"/>
      <c r="X6" s="11"/>
      <c r="Y6" s="11"/>
    </row>
    <row r="7" ht="99.0" customHeight="1">
      <c r="A7" s="12" t="s">
        <v>45</v>
      </c>
      <c r="B7" s="12" t="s">
        <v>46</v>
      </c>
      <c r="C7" s="13" t="s">
        <v>47</v>
      </c>
      <c r="D7" s="13" t="s">
        <v>48</v>
      </c>
      <c r="E7" s="13">
        <v>7907.0</v>
      </c>
      <c r="F7" s="13">
        <v>759.0</v>
      </c>
      <c r="G7" s="12" t="s">
        <v>49</v>
      </c>
      <c r="H7" s="11"/>
      <c r="I7" s="11"/>
      <c r="J7" s="11"/>
      <c r="K7" s="11"/>
      <c r="L7" s="11"/>
      <c r="M7" s="11"/>
      <c r="N7" s="11"/>
      <c r="O7" s="11"/>
      <c r="P7" s="11"/>
      <c r="Q7" s="11"/>
      <c r="R7" s="11"/>
      <c r="S7" s="11"/>
      <c r="T7" s="11"/>
      <c r="U7" s="11"/>
      <c r="V7" s="11"/>
      <c r="W7" s="11"/>
      <c r="X7" s="11"/>
      <c r="Y7" s="11"/>
    </row>
    <row r="8" ht="99.0" customHeight="1">
      <c r="A8" s="12" t="s">
        <v>50</v>
      </c>
      <c r="B8" s="12" t="s">
        <v>51</v>
      </c>
      <c r="C8" s="13" t="s">
        <v>52</v>
      </c>
      <c r="D8" s="13" t="s">
        <v>53</v>
      </c>
      <c r="E8" s="13">
        <v>7848.0</v>
      </c>
      <c r="F8" s="13">
        <v>795.0</v>
      </c>
      <c r="G8" s="13">
        <v>336.0</v>
      </c>
      <c r="H8" s="11"/>
      <c r="I8" s="11"/>
      <c r="J8" s="11"/>
      <c r="K8" s="11"/>
      <c r="L8" s="11"/>
      <c r="M8" s="11"/>
      <c r="N8" s="11"/>
      <c r="O8" s="11"/>
      <c r="P8" s="11"/>
      <c r="Q8" s="11"/>
      <c r="R8" s="11"/>
      <c r="S8" s="11"/>
      <c r="T8" s="11"/>
      <c r="U8" s="11"/>
      <c r="V8" s="11"/>
      <c r="W8" s="11"/>
      <c r="X8" s="11"/>
      <c r="Y8" s="11"/>
    </row>
    <row r="9" ht="99.0" customHeight="1">
      <c r="A9" s="12" t="s">
        <v>54</v>
      </c>
      <c r="B9" s="12" t="s">
        <v>55</v>
      </c>
      <c r="C9" s="13" t="s">
        <v>56</v>
      </c>
      <c r="D9" s="13" t="s">
        <v>57</v>
      </c>
      <c r="E9" s="13">
        <v>7768.0</v>
      </c>
      <c r="F9" s="13">
        <v>739.0</v>
      </c>
      <c r="G9" s="13">
        <v>267.0</v>
      </c>
      <c r="H9" s="11"/>
      <c r="I9" s="11"/>
      <c r="J9" s="11"/>
      <c r="K9" s="11"/>
      <c r="L9" s="11"/>
      <c r="M9" s="11"/>
      <c r="N9" s="11"/>
      <c r="O9" s="11"/>
      <c r="P9" s="11"/>
      <c r="Q9" s="11"/>
      <c r="R9" s="11"/>
      <c r="S9" s="11"/>
      <c r="T9" s="11"/>
      <c r="U9" s="11"/>
      <c r="V9" s="11"/>
      <c r="W9" s="11"/>
      <c r="X9" s="11"/>
      <c r="Y9" s="11"/>
    </row>
    <row r="10" ht="99.0" customHeight="1">
      <c r="A10" s="12" t="s">
        <v>58</v>
      </c>
      <c r="B10" s="12" t="s">
        <v>59</v>
      </c>
      <c r="C10" s="13" t="s">
        <v>60</v>
      </c>
      <c r="D10" s="12" t="s">
        <v>61</v>
      </c>
      <c r="E10" s="13">
        <v>7758.0</v>
      </c>
      <c r="F10" s="13" t="s">
        <v>62</v>
      </c>
      <c r="G10" s="13">
        <v>286.0</v>
      </c>
      <c r="H10" s="11"/>
      <c r="I10" s="11"/>
      <c r="J10" s="11"/>
      <c r="K10" s="11"/>
      <c r="L10" s="11"/>
      <c r="M10" s="11"/>
      <c r="N10" s="11"/>
      <c r="O10" s="11"/>
      <c r="P10" s="11"/>
      <c r="Q10" s="11"/>
      <c r="R10" s="11"/>
      <c r="S10" s="11"/>
      <c r="T10" s="11"/>
      <c r="U10" s="11"/>
      <c r="V10" s="11"/>
      <c r="W10" s="11"/>
      <c r="X10" s="11"/>
      <c r="Y10" s="11"/>
    </row>
    <row r="11" ht="99.0" customHeight="1">
      <c r="A11" s="12" t="s">
        <v>63</v>
      </c>
      <c r="B11" s="12" t="s">
        <v>64</v>
      </c>
      <c r="C11" s="13" t="s">
        <v>65</v>
      </c>
      <c r="D11" s="13" t="s">
        <v>66</v>
      </c>
      <c r="E11" s="13">
        <v>7892.0</v>
      </c>
      <c r="F11" s="13">
        <v>807.0</v>
      </c>
      <c r="G11" s="13">
        <v>389.0</v>
      </c>
      <c r="H11" s="11"/>
      <c r="I11" s="11"/>
      <c r="J11" s="11"/>
      <c r="K11" s="11"/>
      <c r="L11" s="11"/>
      <c r="M11" s="11"/>
      <c r="N11" s="11"/>
      <c r="O11" s="11"/>
      <c r="P11" s="11"/>
      <c r="Q11" s="11"/>
      <c r="R11" s="11"/>
      <c r="S11" s="11"/>
      <c r="T11" s="11"/>
      <c r="U11" s="11"/>
      <c r="V11" s="11"/>
      <c r="W11" s="11"/>
      <c r="X11" s="11"/>
      <c r="Y11" s="11"/>
    </row>
    <row r="12" ht="99.0" customHeight="1">
      <c r="A12" s="12" t="s">
        <v>67</v>
      </c>
      <c r="B12" s="12" t="s">
        <v>68</v>
      </c>
      <c r="C12" s="13" t="s">
        <v>69</v>
      </c>
      <c r="D12" s="13" t="s">
        <v>70</v>
      </c>
      <c r="E12" s="13">
        <v>7839.0</v>
      </c>
      <c r="F12" s="13">
        <v>759.0</v>
      </c>
      <c r="G12" s="13">
        <v>365.0</v>
      </c>
      <c r="H12" s="11"/>
      <c r="I12" s="11"/>
      <c r="J12" s="11"/>
      <c r="K12" s="11"/>
      <c r="L12" s="11"/>
      <c r="M12" s="11"/>
      <c r="N12" s="11"/>
      <c r="O12" s="11"/>
      <c r="P12" s="11"/>
      <c r="Q12" s="11"/>
      <c r="R12" s="11"/>
      <c r="S12" s="11"/>
      <c r="T12" s="11"/>
      <c r="U12" s="11"/>
      <c r="V12" s="11"/>
      <c r="W12" s="11"/>
      <c r="X12" s="11"/>
      <c r="Y12" s="11"/>
    </row>
    <row r="13" ht="99.0" customHeight="1">
      <c r="A13" s="12" t="s">
        <v>67</v>
      </c>
      <c r="B13" s="12" t="s">
        <v>71</v>
      </c>
      <c r="C13" s="13" t="s">
        <v>72</v>
      </c>
      <c r="D13" s="13" t="s">
        <v>73</v>
      </c>
      <c r="E13" s="13">
        <v>7879.0</v>
      </c>
      <c r="F13" s="13">
        <v>706.0</v>
      </c>
      <c r="G13" s="13">
        <v>233.0</v>
      </c>
      <c r="H13" s="11"/>
      <c r="I13" s="11"/>
      <c r="J13" s="11"/>
      <c r="K13" s="11"/>
      <c r="L13" s="11"/>
      <c r="M13" s="11"/>
      <c r="N13" s="11"/>
      <c r="O13" s="11"/>
      <c r="P13" s="11"/>
      <c r="Q13" s="11"/>
      <c r="R13" s="11"/>
      <c r="S13" s="11"/>
      <c r="T13" s="11"/>
      <c r="U13" s="11"/>
      <c r="V13" s="11"/>
      <c r="W13" s="11"/>
      <c r="X13" s="11"/>
      <c r="Y13" s="11"/>
    </row>
    <row r="14" ht="99.0" customHeight="1">
      <c r="A14" s="12" t="s">
        <v>74</v>
      </c>
      <c r="B14" s="12" t="s">
        <v>75</v>
      </c>
      <c r="C14" s="13" t="s">
        <v>76</v>
      </c>
      <c r="D14" s="13" t="s">
        <v>77</v>
      </c>
      <c r="E14" s="13">
        <v>7257.0</v>
      </c>
      <c r="F14" s="13">
        <v>824.0</v>
      </c>
      <c r="G14" s="13">
        <v>369.0</v>
      </c>
      <c r="H14" s="11"/>
      <c r="I14" s="11"/>
      <c r="J14" s="11"/>
      <c r="K14" s="11"/>
      <c r="L14" s="11"/>
      <c r="M14" s="11"/>
      <c r="N14" s="11"/>
      <c r="O14" s="11"/>
      <c r="P14" s="11"/>
      <c r="Q14" s="11"/>
      <c r="R14" s="11"/>
      <c r="S14" s="11"/>
      <c r="T14" s="11"/>
      <c r="U14" s="11"/>
      <c r="V14" s="11"/>
      <c r="W14" s="11"/>
      <c r="X14" s="11"/>
      <c r="Y14" s="11"/>
    </row>
    <row r="15" ht="99.0" customHeight="1">
      <c r="A15" s="12" t="s">
        <v>78</v>
      </c>
      <c r="B15" s="12" t="s">
        <v>79</v>
      </c>
      <c r="C15" s="13" t="s">
        <v>80</v>
      </c>
      <c r="D15" s="13" t="s">
        <v>81</v>
      </c>
      <c r="E15" s="13" t="s">
        <v>82</v>
      </c>
      <c r="F15" s="13">
        <v>736.0</v>
      </c>
      <c r="G15" s="13">
        <v>266.0</v>
      </c>
      <c r="H15" s="11"/>
      <c r="I15" s="11"/>
      <c r="J15" s="11"/>
      <c r="K15" s="11"/>
      <c r="L15" s="11"/>
      <c r="M15" s="11"/>
      <c r="N15" s="11"/>
      <c r="O15" s="11"/>
      <c r="P15" s="11"/>
      <c r="Q15" s="11"/>
      <c r="R15" s="11"/>
      <c r="S15" s="11"/>
      <c r="T15" s="11"/>
      <c r="U15" s="11"/>
      <c r="V15" s="11"/>
      <c r="W15" s="11"/>
      <c r="X15" s="11"/>
      <c r="Y15" s="11"/>
    </row>
    <row r="16" ht="99.0" customHeight="1">
      <c r="A16" s="12" t="s">
        <v>83</v>
      </c>
      <c r="B16" s="12" t="s">
        <v>84</v>
      </c>
      <c r="C16" s="13" t="s">
        <v>85</v>
      </c>
      <c r="D16" s="12" t="s">
        <v>86</v>
      </c>
      <c r="E16" s="13">
        <v>7775.0</v>
      </c>
      <c r="F16" s="13">
        <v>747.0</v>
      </c>
      <c r="G16" s="13">
        <v>293.0</v>
      </c>
      <c r="H16" s="11"/>
      <c r="I16" s="11"/>
      <c r="J16" s="11"/>
      <c r="K16" s="11"/>
      <c r="L16" s="11"/>
      <c r="M16" s="11"/>
      <c r="N16" s="11"/>
      <c r="O16" s="11"/>
      <c r="P16" s="11"/>
      <c r="Q16" s="11"/>
      <c r="R16" s="11"/>
      <c r="S16" s="11"/>
      <c r="T16" s="11"/>
      <c r="U16" s="11"/>
      <c r="V16" s="11"/>
      <c r="W16" s="11"/>
      <c r="X16" s="11"/>
      <c r="Y16" s="11"/>
    </row>
    <row r="17" ht="99.0" customHeight="1">
      <c r="A17" s="12" t="s">
        <v>87</v>
      </c>
      <c r="B17" s="12" t="s">
        <v>88</v>
      </c>
      <c r="C17" s="13" t="s">
        <v>89</v>
      </c>
      <c r="D17" s="13" t="s">
        <v>90</v>
      </c>
      <c r="E17" s="13">
        <v>7803.0</v>
      </c>
      <c r="F17" s="13">
        <v>747.0</v>
      </c>
      <c r="G17" s="13">
        <v>288.0</v>
      </c>
      <c r="H17" s="11"/>
      <c r="I17" s="11"/>
      <c r="J17" s="11"/>
      <c r="K17" s="11"/>
      <c r="L17" s="11"/>
      <c r="M17" s="11"/>
      <c r="N17" s="11"/>
      <c r="O17" s="11"/>
      <c r="P17" s="11"/>
      <c r="Q17" s="11"/>
      <c r="R17" s="11"/>
      <c r="S17" s="11"/>
      <c r="T17" s="11"/>
      <c r="U17" s="11"/>
      <c r="V17" s="11"/>
      <c r="W17" s="11"/>
      <c r="X17" s="11"/>
      <c r="Y17" s="11"/>
    </row>
    <row r="18" ht="99.0" customHeight="1">
      <c r="A18" s="12" t="s">
        <v>91</v>
      </c>
      <c r="B18" s="12" t="s">
        <v>92</v>
      </c>
      <c r="C18" s="12" t="s">
        <v>93</v>
      </c>
      <c r="D18" s="13" t="s">
        <v>94</v>
      </c>
      <c r="E18" s="13">
        <v>7816.0</v>
      </c>
      <c r="F18" s="13">
        <v>904.0</v>
      </c>
      <c r="G18" s="13">
        <v>453.0</v>
      </c>
      <c r="H18" s="11"/>
      <c r="I18" s="11"/>
      <c r="J18" s="11"/>
      <c r="K18" s="11"/>
      <c r="L18" s="11"/>
      <c r="M18" s="11"/>
      <c r="N18" s="11"/>
      <c r="O18" s="11"/>
      <c r="P18" s="11"/>
      <c r="Q18" s="11"/>
      <c r="R18" s="11"/>
      <c r="S18" s="11"/>
      <c r="T18" s="11"/>
      <c r="U18" s="11"/>
      <c r="V18" s="11"/>
      <c r="W18" s="11"/>
      <c r="X18" s="11"/>
      <c r="Y18" s="11"/>
    </row>
    <row r="19" ht="99.0" customHeight="1">
      <c r="A19" s="12" t="s">
        <v>95</v>
      </c>
      <c r="B19" s="12" t="s">
        <v>96</v>
      </c>
      <c r="C19" s="13" t="s">
        <v>97</v>
      </c>
      <c r="D19" s="13" t="s">
        <v>98</v>
      </c>
      <c r="E19" s="13">
        <v>7916.0</v>
      </c>
      <c r="F19" s="13">
        <v>731.0</v>
      </c>
      <c r="G19" s="13">
        <v>326.0</v>
      </c>
      <c r="H19" s="11"/>
      <c r="I19" s="11"/>
      <c r="J19" s="11"/>
      <c r="K19" s="11"/>
      <c r="L19" s="11"/>
      <c r="M19" s="11"/>
      <c r="N19" s="11"/>
      <c r="O19" s="11"/>
      <c r="P19" s="11"/>
      <c r="Q19" s="11"/>
      <c r="R19" s="11"/>
      <c r="S19" s="11"/>
      <c r="T19" s="11"/>
      <c r="U19" s="11"/>
      <c r="V19" s="11"/>
      <c r="W19" s="11"/>
      <c r="X19" s="11"/>
      <c r="Y19" s="11"/>
    </row>
    <row r="20" ht="99.0" customHeight="1">
      <c r="A20" s="12" t="s">
        <v>99</v>
      </c>
      <c r="B20" s="12" t="s">
        <v>100</v>
      </c>
      <c r="C20" s="13" t="s">
        <v>101</v>
      </c>
      <c r="D20" s="13" t="s">
        <v>102</v>
      </c>
      <c r="E20" s="13">
        <v>7826.0</v>
      </c>
      <c r="F20" s="13">
        <v>763.0</v>
      </c>
      <c r="G20" s="13">
        <v>344.0</v>
      </c>
      <c r="H20" s="11"/>
      <c r="I20" s="11"/>
      <c r="J20" s="11"/>
      <c r="K20" s="11"/>
      <c r="L20" s="11"/>
      <c r="M20" s="11"/>
      <c r="N20" s="11"/>
      <c r="O20" s="11"/>
      <c r="P20" s="11"/>
      <c r="Q20" s="11"/>
      <c r="R20" s="11"/>
      <c r="S20" s="11"/>
      <c r="T20" s="11"/>
      <c r="U20" s="11"/>
      <c r="V20" s="11"/>
      <c r="W20" s="11"/>
      <c r="X20" s="11"/>
      <c r="Y20" s="11"/>
    </row>
    <row r="21" ht="99.0" customHeight="1">
      <c r="A21" s="12" t="s">
        <v>103</v>
      </c>
      <c r="B21" s="12" t="s">
        <v>104</v>
      </c>
      <c r="C21" s="13" t="s">
        <v>105</v>
      </c>
      <c r="D21" s="13" t="s">
        <v>106</v>
      </c>
      <c r="E21" s="13">
        <v>7751.0</v>
      </c>
      <c r="F21" s="13">
        <v>741.0</v>
      </c>
      <c r="G21" s="13">
        <v>255.0</v>
      </c>
      <c r="H21" s="11"/>
      <c r="I21" s="11"/>
      <c r="J21" s="11"/>
      <c r="K21" s="11"/>
      <c r="L21" s="11"/>
      <c r="M21" s="11"/>
      <c r="N21" s="11"/>
      <c r="O21" s="11"/>
      <c r="P21" s="11"/>
      <c r="Q21" s="11"/>
      <c r="R21" s="11"/>
      <c r="S21" s="11"/>
      <c r="T21" s="11"/>
      <c r="U21" s="11"/>
      <c r="V21" s="11"/>
      <c r="W21" s="11"/>
      <c r="X21" s="11"/>
      <c r="Y21" s="11"/>
    </row>
    <row r="22" ht="99.0" customHeight="1">
      <c r="A22" s="12" t="s">
        <v>107</v>
      </c>
      <c r="B22" s="12" t="s">
        <v>108</v>
      </c>
      <c r="C22" s="13" t="s">
        <v>109</v>
      </c>
      <c r="D22" s="13" t="s">
        <v>110</v>
      </c>
      <c r="E22" s="13">
        <v>7723.0</v>
      </c>
      <c r="F22" s="13" t="s">
        <v>111</v>
      </c>
      <c r="G22" s="13">
        <v>325.0</v>
      </c>
      <c r="H22" s="11"/>
      <c r="I22" s="11"/>
      <c r="J22" s="11"/>
      <c r="K22" s="11"/>
      <c r="L22" s="11"/>
      <c r="M22" s="11"/>
      <c r="N22" s="11"/>
      <c r="O22" s="11"/>
      <c r="P22" s="11"/>
      <c r="Q22" s="11"/>
      <c r="R22" s="11"/>
      <c r="S22" s="11"/>
      <c r="T22" s="11"/>
      <c r="U22" s="11"/>
      <c r="V22" s="11"/>
      <c r="W22" s="11"/>
      <c r="X22" s="11"/>
      <c r="Y22" s="11"/>
    </row>
    <row r="23" ht="99.0" customHeight="1">
      <c r="A23" s="12" t="s">
        <v>112</v>
      </c>
      <c r="B23" s="12" t="s">
        <v>113</v>
      </c>
      <c r="C23" s="13" t="s">
        <v>114</v>
      </c>
      <c r="D23" s="13" t="s">
        <v>115</v>
      </c>
      <c r="E23" s="13" t="s">
        <v>116</v>
      </c>
      <c r="F23" s="13">
        <v>735.0</v>
      </c>
      <c r="G23" s="13">
        <v>297.0</v>
      </c>
      <c r="H23" s="11"/>
      <c r="I23" s="11"/>
      <c r="J23" s="11"/>
      <c r="K23" s="11"/>
      <c r="L23" s="11"/>
      <c r="M23" s="11"/>
      <c r="N23" s="11"/>
      <c r="O23" s="11"/>
      <c r="P23" s="11"/>
      <c r="Q23" s="11"/>
      <c r="R23" s="11"/>
      <c r="S23" s="11"/>
      <c r="T23" s="11"/>
      <c r="U23" s="11"/>
      <c r="V23" s="11"/>
      <c r="W23" s="11"/>
      <c r="X23" s="11"/>
      <c r="Y23" s="11"/>
    </row>
    <row r="24" ht="99.0" customHeight="1">
      <c r="A24" s="12" t="s">
        <v>117</v>
      </c>
      <c r="B24" s="12" t="s">
        <v>118</v>
      </c>
      <c r="C24" s="13" t="s">
        <v>119</v>
      </c>
      <c r="D24" s="13" t="s">
        <v>120</v>
      </c>
      <c r="E24" s="13">
        <v>7845.0</v>
      </c>
      <c r="F24" s="13">
        <v>795.0</v>
      </c>
      <c r="G24" s="13">
        <v>426.0</v>
      </c>
      <c r="H24" s="11"/>
      <c r="I24" s="11"/>
      <c r="J24" s="11"/>
      <c r="K24" s="11"/>
      <c r="L24" s="11"/>
      <c r="M24" s="11"/>
      <c r="N24" s="11"/>
      <c r="O24" s="11"/>
      <c r="P24" s="11"/>
      <c r="Q24" s="11"/>
      <c r="R24" s="11"/>
      <c r="S24" s="11"/>
      <c r="T24" s="11"/>
      <c r="U24" s="11"/>
      <c r="V24" s="11"/>
      <c r="W24" s="11"/>
      <c r="X24" s="11"/>
      <c r="Y24" s="11"/>
    </row>
    <row r="25" ht="99.0" customHeight="1">
      <c r="A25" s="12" t="s">
        <v>121</v>
      </c>
      <c r="B25" s="12" t="s">
        <v>122</v>
      </c>
      <c r="C25" s="13" t="s">
        <v>123</v>
      </c>
      <c r="D25" s="13" t="s">
        <v>124</v>
      </c>
      <c r="E25" s="13">
        <v>7824.0</v>
      </c>
      <c r="F25" s="13">
        <v>792.0</v>
      </c>
      <c r="G25" s="13">
        <v>367.0</v>
      </c>
      <c r="H25" s="11"/>
      <c r="I25" s="11"/>
      <c r="J25" s="11"/>
      <c r="K25" s="11"/>
      <c r="L25" s="11"/>
      <c r="M25" s="11"/>
      <c r="N25" s="11"/>
      <c r="O25" s="11"/>
      <c r="P25" s="11"/>
      <c r="Q25" s="11"/>
      <c r="R25" s="11"/>
      <c r="S25" s="11"/>
      <c r="T25" s="11"/>
      <c r="U25" s="11"/>
      <c r="V25" s="11"/>
      <c r="W25" s="11"/>
      <c r="X25" s="11"/>
      <c r="Y25" s="11"/>
    </row>
    <row r="26" ht="99.0" customHeight="1">
      <c r="A26" s="12" t="s">
        <v>125</v>
      </c>
      <c r="B26" s="12" t="s">
        <v>126</v>
      </c>
      <c r="C26" s="13" t="s">
        <v>127</v>
      </c>
      <c r="D26" s="13" t="s">
        <v>128</v>
      </c>
      <c r="E26" s="13">
        <v>7774.0</v>
      </c>
      <c r="F26" s="13" t="s">
        <v>129</v>
      </c>
      <c r="G26" s="13">
        <v>434.0</v>
      </c>
      <c r="H26" s="11"/>
      <c r="I26" s="11"/>
      <c r="J26" s="11"/>
      <c r="K26" s="11"/>
      <c r="L26" s="11"/>
      <c r="M26" s="11"/>
      <c r="N26" s="11"/>
      <c r="O26" s="11"/>
      <c r="P26" s="11"/>
      <c r="Q26" s="11"/>
      <c r="R26" s="11"/>
      <c r="S26" s="11"/>
      <c r="T26" s="11"/>
      <c r="U26" s="11"/>
      <c r="V26" s="11"/>
      <c r="W26" s="11"/>
      <c r="X26" s="11"/>
      <c r="Y26" s="11"/>
    </row>
    <row r="27" ht="99.0" customHeight="1">
      <c r="A27" s="12" t="s">
        <v>130</v>
      </c>
      <c r="B27" s="16"/>
      <c r="C27" s="12" t="s">
        <v>32</v>
      </c>
      <c r="D27" s="13" t="s">
        <v>131</v>
      </c>
      <c r="E27" s="13">
        <v>7398.0</v>
      </c>
      <c r="F27" s="13">
        <v>624.0</v>
      </c>
      <c r="G27" s="13">
        <v>18.0</v>
      </c>
      <c r="H27" s="11"/>
      <c r="I27" s="11"/>
      <c r="J27" s="11"/>
      <c r="K27" s="11"/>
      <c r="L27" s="11"/>
      <c r="M27" s="11"/>
      <c r="N27" s="11"/>
      <c r="O27" s="11"/>
      <c r="P27" s="11"/>
      <c r="Q27" s="11"/>
      <c r="R27" s="11"/>
      <c r="S27" s="11"/>
      <c r="T27" s="11"/>
      <c r="U27" s="11"/>
      <c r="V27" s="11"/>
      <c r="W27" s="11"/>
      <c r="X27" s="11"/>
      <c r="Y27" s="11"/>
    </row>
    <row r="28" ht="99.0" customHeight="1">
      <c r="A28" s="12" t="s">
        <v>132</v>
      </c>
      <c r="B28" s="12" t="s">
        <v>133</v>
      </c>
      <c r="C28" s="13" t="s">
        <v>134</v>
      </c>
      <c r="D28" s="13" t="s">
        <v>135</v>
      </c>
      <c r="E28" s="13">
        <v>7823.0</v>
      </c>
      <c r="F28" s="13">
        <v>681.0</v>
      </c>
      <c r="G28" s="13">
        <v>173.0</v>
      </c>
      <c r="H28" s="11"/>
      <c r="I28" s="11"/>
      <c r="J28" s="11"/>
      <c r="K28" s="11"/>
      <c r="L28" s="11"/>
      <c r="M28" s="11"/>
      <c r="N28" s="11"/>
      <c r="O28" s="11"/>
      <c r="P28" s="11"/>
      <c r="Q28" s="11"/>
      <c r="R28" s="11"/>
      <c r="S28" s="11"/>
      <c r="T28" s="11"/>
      <c r="U28" s="11"/>
      <c r="V28" s="11"/>
      <c r="W28" s="11"/>
      <c r="X28" s="11"/>
      <c r="Y28" s="11"/>
    </row>
    <row r="29" ht="99.0" customHeight="1">
      <c r="A29" s="12" t="s">
        <v>136</v>
      </c>
      <c r="B29" s="12" t="s">
        <v>137</v>
      </c>
      <c r="C29" s="13" t="s">
        <v>138</v>
      </c>
      <c r="D29" s="13" t="s">
        <v>139</v>
      </c>
      <c r="E29" s="13">
        <v>7774.0</v>
      </c>
      <c r="F29" s="13">
        <v>751.0</v>
      </c>
      <c r="G29" s="13">
        <v>243.0</v>
      </c>
      <c r="H29" s="11"/>
      <c r="I29" s="11"/>
      <c r="J29" s="11"/>
      <c r="K29" s="11"/>
      <c r="L29" s="11"/>
      <c r="M29" s="11"/>
      <c r="N29" s="11"/>
      <c r="O29" s="11"/>
      <c r="P29" s="11"/>
      <c r="Q29" s="11"/>
      <c r="R29" s="11"/>
      <c r="S29" s="11"/>
      <c r="T29" s="11"/>
      <c r="U29" s="11"/>
      <c r="V29" s="11"/>
      <c r="W29" s="11"/>
      <c r="X29" s="11"/>
      <c r="Y29" s="11"/>
    </row>
    <row r="30" ht="99.0" customHeight="1">
      <c r="A30" s="12" t="s">
        <v>140</v>
      </c>
      <c r="B30" s="12" t="s">
        <v>141</v>
      </c>
      <c r="C30" s="12" t="s">
        <v>142</v>
      </c>
      <c r="D30" s="13" t="s">
        <v>143</v>
      </c>
      <c r="E30" s="13">
        <v>7805.0</v>
      </c>
      <c r="F30" s="13">
        <v>728.0</v>
      </c>
      <c r="G30" s="13">
        <v>226.0</v>
      </c>
      <c r="H30" s="11"/>
      <c r="I30" s="11"/>
      <c r="J30" s="11"/>
      <c r="K30" s="11"/>
      <c r="L30" s="11"/>
      <c r="M30" s="11"/>
      <c r="N30" s="11"/>
      <c r="O30" s="11"/>
      <c r="P30" s="11"/>
      <c r="Q30" s="11"/>
      <c r="R30" s="11"/>
      <c r="S30" s="11"/>
      <c r="T30" s="11"/>
      <c r="U30" s="11"/>
      <c r="V30" s="11"/>
      <c r="W30" s="11"/>
      <c r="X30" s="11"/>
      <c r="Y30" s="11"/>
    </row>
    <row r="31">
      <c r="A31" s="12" t="s">
        <v>144</v>
      </c>
      <c r="B31" s="12" t="s">
        <v>145</v>
      </c>
      <c r="C31" s="13" t="s">
        <v>146</v>
      </c>
      <c r="D31" s="13" t="s">
        <v>147</v>
      </c>
      <c r="E31" s="13">
        <v>7174.0</v>
      </c>
      <c r="F31" s="13">
        <v>755.0</v>
      </c>
      <c r="G31" s="13">
        <v>256.0</v>
      </c>
      <c r="H31" s="11"/>
      <c r="I31" s="11"/>
      <c r="J31" s="11"/>
      <c r="K31" s="11"/>
      <c r="L31" s="11"/>
      <c r="M31" s="11"/>
      <c r="N31" s="11"/>
      <c r="O31" s="11"/>
      <c r="P31" s="11"/>
      <c r="Q31" s="11"/>
      <c r="R31" s="11"/>
      <c r="S31" s="11"/>
      <c r="T31" s="11"/>
      <c r="U31" s="11"/>
      <c r="V31" s="11"/>
      <c r="W31" s="11"/>
      <c r="X31" s="11"/>
      <c r="Y31"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5.38"/>
    <col customWidth="1" min="5" max="7" width="9.38"/>
    <col customWidth="1" min="8" max="8" width="5.13"/>
  </cols>
  <sheetData>
    <row r="1">
      <c r="A1" s="17" t="s">
        <v>14</v>
      </c>
      <c r="B1" s="17" t="s">
        <v>15</v>
      </c>
      <c r="C1" s="17" t="s">
        <v>16</v>
      </c>
      <c r="D1" s="17" t="s">
        <v>17</v>
      </c>
      <c r="E1" s="17" t="s">
        <v>18</v>
      </c>
      <c r="F1" s="17" t="s">
        <v>19</v>
      </c>
      <c r="G1" s="17" t="s">
        <v>20</v>
      </c>
      <c r="J1" s="2" t="s">
        <v>21</v>
      </c>
    </row>
    <row r="2">
      <c r="A2" s="18" t="s">
        <v>22</v>
      </c>
      <c r="B2" s="18" t="s">
        <v>23</v>
      </c>
      <c r="C2" s="18" t="s">
        <v>24</v>
      </c>
      <c r="D2" s="18" t="s">
        <v>148</v>
      </c>
      <c r="E2" s="19">
        <v>29156.0</v>
      </c>
      <c r="F2" s="19">
        <v>756.0</v>
      </c>
      <c r="G2" s="19">
        <v>264.0</v>
      </c>
      <c r="I2" s="14" t="s">
        <v>149</v>
      </c>
      <c r="J2" s="14" t="s">
        <v>18</v>
      </c>
      <c r="K2" s="15">
        <f>AVERAGE(E2:E31)</f>
        <v>27953.56667</v>
      </c>
    </row>
    <row r="3">
      <c r="A3" s="18" t="s">
        <v>27</v>
      </c>
      <c r="B3" s="18" t="s">
        <v>28</v>
      </c>
      <c r="C3" s="18" t="s">
        <v>29</v>
      </c>
      <c r="D3" s="18" t="s">
        <v>150</v>
      </c>
      <c r="E3" s="19">
        <v>23937.0</v>
      </c>
      <c r="F3" s="19">
        <v>718.0</v>
      </c>
      <c r="G3" s="19">
        <v>184.0</v>
      </c>
      <c r="J3" s="14" t="s">
        <v>19</v>
      </c>
      <c r="K3" s="11">
        <f>AVERAGE(F2:F31)/10</f>
        <v>73.83448276</v>
      </c>
    </row>
    <row r="4">
      <c r="A4" s="18" t="s">
        <v>31</v>
      </c>
      <c r="B4" s="20"/>
      <c r="C4" s="18" t="s">
        <v>32</v>
      </c>
      <c r="D4" s="18" t="s">
        <v>151</v>
      </c>
      <c r="E4" s="19">
        <v>2982.0</v>
      </c>
      <c r="F4" s="19">
        <v>688.0</v>
      </c>
      <c r="G4" s="19">
        <v>185.0</v>
      </c>
      <c r="J4" s="14" t="s">
        <v>20</v>
      </c>
      <c r="K4" s="11">
        <f>AVERAGE(G2:G31)/10</f>
        <v>23.46666667</v>
      </c>
    </row>
    <row r="5">
      <c r="A5" s="18" t="s">
        <v>35</v>
      </c>
      <c r="B5" s="18" t="s">
        <v>36</v>
      </c>
      <c r="C5" s="18" t="s">
        <v>37</v>
      </c>
      <c r="D5" s="18" t="s">
        <v>152</v>
      </c>
      <c r="E5" s="19">
        <v>18331.0</v>
      </c>
      <c r="F5" s="19">
        <v>739.0</v>
      </c>
      <c r="G5" s="19">
        <v>221.0</v>
      </c>
    </row>
    <row r="6">
      <c r="A6" s="18" t="s">
        <v>39</v>
      </c>
      <c r="B6" s="18" t="s">
        <v>40</v>
      </c>
      <c r="C6" s="18" t="s">
        <v>41</v>
      </c>
      <c r="D6" s="18" t="s">
        <v>153</v>
      </c>
      <c r="E6" s="19">
        <v>39083.0</v>
      </c>
      <c r="F6" s="19">
        <v>719.0</v>
      </c>
      <c r="G6" s="19">
        <v>199.0</v>
      </c>
    </row>
    <row r="7">
      <c r="A7" s="18" t="s">
        <v>45</v>
      </c>
      <c r="B7" s="18" t="s">
        <v>46</v>
      </c>
      <c r="C7" s="18" t="s">
        <v>47</v>
      </c>
      <c r="D7" s="18" t="s">
        <v>154</v>
      </c>
      <c r="E7" s="19">
        <v>41007.0</v>
      </c>
      <c r="F7" s="19">
        <v>721.0</v>
      </c>
      <c r="G7" s="19">
        <v>201.0</v>
      </c>
    </row>
    <row r="8">
      <c r="A8" s="18" t="s">
        <v>50</v>
      </c>
      <c r="B8" s="18" t="s">
        <v>51</v>
      </c>
      <c r="C8" s="18" t="s">
        <v>52</v>
      </c>
      <c r="D8" s="18" t="s">
        <v>155</v>
      </c>
      <c r="E8" s="19">
        <v>26386.0</v>
      </c>
      <c r="F8" s="19">
        <v>753.0</v>
      </c>
      <c r="G8" s="19">
        <v>272.0</v>
      </c>
    </row>
    <row r="9">
      <c r="A9" s="18" t="s">
        <v>54</v>
      </c>
      <c r="B9" s="18" t="s">
        <v>55</v>
      </c>
      <c r="C9" s="18" t="s">
        <v>56</v>
      </c>
      <c r="D9" s="18" t="s">
        <v>156</v>
      </c>
      <c r="E9" s="19">
        <v>24727.0</v>
      </c>
      <c r="F9" s="19">
        <v>691.0</v>
      </c>
      <c r="G9" s="19">
        <v>208.0</v>
      </c>
    </row>
    <row r="10">
      <c r="A10" s="18" t="s">
        <v>58</v>
      </c>
      <c r="B10" s="18" t="s">
        <v>59</v>
      </c>
      <c r="C10" s="18" t="s">
        <v>60</v>
      </c>
      <c r="D10" s="18" t="s">
        <v>157</v>
      </c>
      <c r="E10" s="19">
        <v>22245.0</v>
      </c>
      <c r="F10" s="19">
        <v>732.0</v>
      </c>
      <c r="G10" s="19">
        <v>228.0</v>
      </c>
    </row>
    <row r="11">
      <c r="A11" s="18" t="s">
        <v>63</v>
      </c>
      <c r="B11" s="18" t="s">
        <v>64</v>
      </c>
      <c r="C11" s="18" t="s">
        <v>65</v>
      </c>
      <c r="D11" s="18" t="s">
        <v>158</v>
      </c>
      <c r="E11" s="19">
        <v>30638.0</v>
      </c>
      <c r="F11" s="19">
        <v>789.0</v>
      </c>
      <c r="G11" s="19">
        <v>313.0</v>
      </c>
    </row>
    <row r="12">
      <c r="A12" s="18" t="s">
        <v>67</v>
      </c>
      <c r="B12" s="18" t="s">
        <v>68</v>
      </c>
      <c r="C12" s="18" t="s">
        <v>69</v>
      </c>
      <c r="D12" s="18" t="s">
        <v>159</v>
      </c>
      <c r="E12" s="19">
        <v>39872.0</v>
      </c>
      <c r="F12" s="19">
        <v>737.0</v>
      </c>
      <c r="G12" s="19">
        <v>245.0</v>
      </c>
    </row>
    <row r="13">
      <c r="A13" s="18" t="s">
        <v>67</v>
      </c>
      <c r="B13" s="18" t="s">
        <v>71</v>
      </c>
      <c r="C13" s="18" t="s">
        <v>72</v>
      </c>
      <c r="D13" s="18" t="s">
        <v>160</v>
      </c>
      <c r="E13" s="19">
        <v>28895.0</v>
      </c>
      <c r="F13" s="19">
        <v>774.0</v>
      </c>
      <c r="G13" s="19">
        <v>217.0</v>
      </c>
    </row>
    <row r="14">
      <c r="A14" s="18" t="s">
        <v>74</v>
      </c>
      <c r="B14" s="18" t="s">
        <v>75</v>
      </c>
      <c r="C14" s="18" t="s">
        <v>76</v>
      </c>
      <c r="D14" s="18" t="s">
        <v>161</v>
      </c>
      <c r="E14" s="19">
        <v>36563.0</v>
      </c>
      <c r="F14" s="19">
        <v>738.0</v>
      </c>
      <c r="G14" s="19">
        <v>261.0</v>
      </c>
    </row>
    <row r="15">
      <c r="A15" s="18" t="s">
        <v>78</v>
      </c>
      <c r="B15" s="18" t="s">
        <v>79</v>
      </c>
      <c r="C15" s="18" t="s">
        <v>80</v>
      </c>
      <c r="D15" s="18" t="s">
        <v>162</v>
      </c>
      <c r="E15" s="19">
        <v>38995.0</v>
      </c>
      <c r="F15" s="19">
        <v>729.0</v>
      </c>
      <c r="G15" s="19">
        <v>211.0</v>
      </c>
    </row>
    <row r="16">
      <c r="A16" s="18" t="s">
        <v>83</v>
      </c>
      <c r="B16" s="18" t="s">
        <v>84</v>
      </c>
      <c r="C16" s="18" t="s">
        <v>85</v>
      </c>
      <c r="D16" s="18" t="s">
        <v>163</v>
      </c>
      <c r="E16" s="19">
        <v>36083.0</v>
      </c>
      <c r="F16" s="19">
        <v>746.0</v>
      </c>
      <c r="G16" s="19">
        <v>254.0</v>
      </c>
    </row>
    <row r="17">
      <c r="A17" s="18" t="s">
        <v>87</v>
      </c>
      <c r="B17" s="18" t="s">
        <v>88</v>
      </c>
      <c r="C17" s="18" t="s">
        <v>89</v>
      </c>
      <c r="D17" s="18" t="s">
        <v>164</v>
      </c>
      <c r="E17" s="19">
        <v>34415.0</v>
      </c>
      <c r="F17" s="18" t="s">
        <v>111</v>
      </c>
      <c r="G17" s="19">
        <v>247.0</v>
      </c>
    </row>
    <row r="18">
      <c r="A18" s="18" t="s">
        <v>91</v>
      </c>
      <c r="B18" s="18" t="s">
        <v>92</v>
      </c>
      <c r="C18" s="18" t="s">
        <v>93</v>
      </c>
      <c r="D18" s="18" t="s">
        <v>165</v>
      </c>
      <c r="E18" s="19">
        <v>39689.0</v>
      </c>
      <c r="F18" s="19">
        <v>717.0</v>
      </c>
      <c r="G18" s="18" t="s">
        <v>166</v>
      </c>
    </row>
    <row r="19">
      <c r="A19" s="18" t="s">
        <v>95</v>
      </c>
      <c r="B19" s="18" t="s">
        <v>96</v>
      </c>
      <c r="C19" s="18" t="s">
        <v>97</v>
      </c>
      <c r="D19" s="18" t="s">
        <v>167</v>
      </c>
      <c r="E19" s="19">
        <v>37206.0</v>
      </c>
      <c r="F19" s="19">
        <v>757.0</v>
      </c>
      <c r="G19" s="19">
        <v>269.0</v>
      </c>
    </row>
    <row r="20">
      <c r="A20" s="18" t="s">
        <v>99</v>
      </c>
      <c r="B20" s="18" t="s">
        <v>100</v>
      </c>
      <c r="C20" s="18" t="s">
        <v>101</v>
      </c>
      <c r="D20" s="18" t="s">
        <v>168</v>
      </c>
      <c r="E20" s="19">
        <v>26221.0</v>
      </c>
      <c r="F20" s="19">
        <v>759.0</v>
      </c>
      <c r="G20" s="19">
        <v>333.0</v>
      </c>
    </row>
    <row r="21">
      <c r="A21" s="18" t="s">
        <v>103</v>
      </c>
      <c r="B21" s="18" t="s">
        <v>104</v>
      </c>
      <c r="C21" s="18" t="s">
        <v>105</v>
      </c>
      <c r="D21" s="18" t="s">
        <v>169</v>
      </c>
      <c r="E21" s="19">
        <v>28167.0</v>
      </c>
      <c r="F21" s="19">
        <v>766.0</v>
      </c>
      <c r="G21" s="18" t="s">
        <v>170</v>
      </c>
    </row>
    <row r="22">
      <c r="A22" s="18" t="s">
        <v>107</v>
      </c>
      <c r="B22" s="18" t="s">
        <v>108</v>
      </c>
      <c r="C22" s="18" t="s">
        <v>109</v>
      </c>
      <c r="D22" s="18" t="s">
        <v>171</v>
      </c>
      <c r="E22" s="19">
        <v>38612.0</v>
      </c>
      <c r="F22" s="19">
        <v>749.0</v>
      </c>
      <c r="G22" s="19">
        <v>233.0</v>
      </c>
    </row>
    <row r="23">
      <c r="A23" s="18" t="s">
        <v>112</v>
      </c>
      <c r="B23" s="18" t="s">
        <v>113</v>
      </c>
      <c r="C23" s="18" t="s">
        <v>114</v>
      </c>
      <c r="D23" s="18" t="s">
        <v>172</v>
      </c>
      <c r="E23" s="19">
        <v>25596.0</v>
      </c>
      <c r="F23" s="19">
        <v>763.0</v>
      </c>
      <c r="G23" s="19">
        <v>357.0</v>
      </c>
    </row>
    <row r="24">
      <c r="A24" s="18" t="s">
        <v>117</v>
      </c>
      <c r="B24" s="18" t="s">
        <v>118</v>
      </c>
      <c r="C24" s="18" t="s">
        <v>119</v>
      </c>
      <c r="D24" s="18" t="s">
        <v>173</v>
      </c>
      <c r="E24" s="19">
        <v>25609.0</v>
      </c>
      <c r="F24" s="19">
        <v>768.0</v>
      </c>
      <c r="G24" s="19">
        <v>275.0</v>
      </c>
    </row>
    <row r="25">
      <c r="A25" s="18" t="s">
        <v>121</v>
      </c>
      <c r="B25" s="18" t="s">
        <v>122</v>
      </c>
      <c r="C25" s="18" t="s">
        <v>123</v>
      </c>
      <c r="D25" s="18" t="s">
        <v>174</v>
      </c>
      <c r="E25" s="19">
        <v>31947.0</v>
      </c>
      <c r="F25" s="19">
        <v>733.0</v>
      </c>
      <c r="G25" s="19">
        <v>205.0</v>
      </c>
    </row>
    <row r="26">
      <c r="A26" s="18" t="s">
        <v>125</v>
      </c>
      <c r="B26" s="18" t="s">
        <v>126</v>
      </c>
      <c r="C26" s="18" t="s">
        <v>127</v>
      </c>
      <c r="D26" s="18" t="s">
        <v>175</v>
      </c>
      <c r="E26" s="19">
        <v>25072.0</v>
      </c>
      <c r="F26" s="19">
        <v>773.0</v>
      </c>
      <c r="G26" s="19">
        <v>264.0</v>
      </c>
    </row>
    <row r="27">
      <c r="A27" s="18" t="s">
        <v>130</v>
      </c>
      <c r="B27" s="20"/>
      <c r="C27" s="18" t="s">
        <v>32</v>
      </c>
      <c r="D27" s="18" t="s">
        <v>176</v>
      </c>
      <c r="E27" s="19">
        <v>4579.0</v>
      </c>
      <c r="F27" s="19">
        <v>682.0</v>
      </c>
      <c r="G27" s="19">
        <v>152.0</v>
      </c>
    </row>
    <row r="28">
      <c r="A28" s="18" t="s">
        <v>132</v>
      </c>
      <c r="B28" s="18" t="s">
        <v>133</v>
      </c>
      <c r="C28" s="18" t="s">
        <v>134</v>
      </c>
      <c r="D28" s="18" t="s">
        <v>177</v>
      </c>
      <c r="E28" s="19">
        <v>27157.0</v>
      </c>
      <c r="F28" s="19">
        <v>728.0</v>
      </c>
      <c r="G28" s="19">
        <v>141.0</v>
      </c>
    </row>
    <row r="29">
      <c r="A29" s="18" t="s">
        <v>136</v>
      </c>
      <c r="B29" s="18" t="s">
        <v>137</v>
      </c>
      <c r="C29" s="18" t="s">
        <v>138</v>
      </c>
      <c r="D29" s="18" t="s">
        <v>178</v>
      </c>
      <c r="E29" s="19">
        <v>16169.0</v>
      </c>
      <c r="F29" s="19">
        <v>725.0</v>
      </c>
      <c r="G29" s="18" t="s">
        <v>179</v>
      </c>
    </row>
    <row r="30">
      <c r="A30" s="18" t="s">
        <v>140</v>
      </c>
      <c r="B30" s="18" t="s">
        <v>141</v>
      </c>
      <c r="C30" s="18" t="s">
        <v>142</v>
      </c>
      <c r="D30" s="18" t="s">
        <v>180</v>
      </c>
      <c r="E30" s="19">
        <v>17311.0</v>
      </c>
      <c r="F30" s="19">
        <v>727.0</v>
      </c>
      <c r="G30" s="19">
        <v>211.0</v>
      </c>
    </row>
    <row r="31">
      <c r="A31" s="18" t="s">
        <v>144</v>
      </c>
      <c r="B31" s="18" t="s">
        <v>145</v>
      </c>
      <c r="C31" s="18" t="s">
        <v>146</v>
      </c>
      <c r="D31" s="18" t="s">
        <v>181</v>
      </c>
      <c r="E31" s="19">
        <v>21957.0</v>
      </c>
      <c r="F31" s="19">
        <v>735.0</v>
      </c>
      <c r="G31" s="19">
        <v>186.0</v>
      </c>
    </row>
    <row r="32">
      <c r="A32" s="11"/>
      <c r="B32" s="11"/>
      <c r="C32" s="11"/>
      <c r="D32" s="11"/>
      <c r="E32" s="11"/>
      <c r="F32" s="11"/>
      <c r="G32" s="11"/>
    </row>
    <row r="33">
      <c r="A33" s="11"/>
      <c r="B33" s="11"/>
      <c r="C33" s="11"/>
      <c r="D33" s="11"/>
      <c r="E33" s="11"/>
      <c r="F33" s="11"/>
      <c r="G33" s="11"/>
    </row>
    <row r="34">
      <c r="A34" s="11"/>
      <c r="B34" s="11"/>
      <c r="C34" s="11"/>
      <c r="D34" s="11"/>
      <c r="E34" s="11"/>
      <c r="F34" s="11"/>
      <c r="G34" s="11"/>
    </row>
    <row r="35">
      <c r="A35" s="11"/>
      <c r="B35" s="11"/>
      <c r="C35" s="11"/>
      <c r="D35" s="11"/>
      <c r="E35" s="11"/>
      <c r="F35" s="11"/>
      <c r="G35" s="11"/>
    </row>
    <row r="36">
      <c r="A36" s="11"/>
      <c r="B36" s="11"/>
      <c r="C36" s="11"/>
      <c r="D36" s="11"/>
      <c r="E36" s="11"/>
      <c r="F36" s="11"/>
      <c r="G36" s="11"/>
    </row>
    <row r="37">
      <c r="A37" s="11"/>
      <c r="B37" s="11"/>
      <c r="C37" s="11"/>
      <c r="D37" s="11"/>
      <c r="E37" s="11"/>
      <c r="F37" s="11"/>
      <c r="G37" s="11"/>
    </row>
    <row r="38">
      <c r="A38" s="11"/>
      <c r="B38" s="11"/>
      <c r="C38" s="11"/>
      <c r="D38" s="11"/>
      <c r="E38" s="11"/>
      <c r="F38" s="11"/>
      <c r="G38" s="11"/>
    </row>
    <row r="39">
      <c r="A39" s="11"/>
      <c r="B39" s="11"/>
      <c r="C39" s="11"/>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row r="45">
      <c r="A45" s="11"/>
      <c r="B45" s="11"/>
      <c r="C45" s="11"/>
      <c r="D45" s="11"/>
      <c r="E45" s="11"/>
      <c r="F45" s="11"/>
      <c r="G45" s="11"/>
    </row>
    <row r="46">
      <c r="A46" s="11"/>
      <c r="B46" s="11"/>
      <c r="C46" s="11"/>
      <c r="D46" s="11"/>
      <c r="E46" s="11"/>
      <c r="F46" s="11"/>
      <c r="G46" s="11"/>
    </row>
    <row r="47">
      <c r="A47" s="11"/>
      <c r="B47" s="11"/>
      <c r="C47" s="11"/>
      <c r="D47" s="11"/>
      <c r="E47" s="11"/>
      <c r="F47" s="11"/>
      <c r="G47" s="11"/>
    </row>
    <row r="48">
      <c r="A48" s="11"/>
      <c r="B48" s="11"/>
      <c r="C48" s="11"/>
      <c r="D48" s="11"/>
      <c r="E48" s="11"/>
      <c r="F48" s="11"/>
      <c r="G48" s="11"/>
    </row>
    <row r="49">
      <c r="A49" s="11"/>
      <c r="B49" s="11"/>
      <c r="C49" s="11"/>
      <c r="D49" s="11"/>
      <c r="E49" s="11"/>
      <c r="F49" s="11"/>
      <c r="G49" s="11"/>
    </row>
    <row r="50">
      <c r="A50" s="11"/>
      <c r="B50" s="11"/>
      <c r="C50" s="11"/>
      <c r="D50" s="11"/>
      <c r="E50" s="11"/>
      <c r="F50" s="11"/>
      <c r="G50" s="11"/>
    </row>
    <row r="51">
      <c r="A51" s="11"/>
      <c r="B51" s="11"/>
      <c r="C51" s="11"/>
      <c r="D51" s="11"/>
      <c r="E51" s="11"/>
      <c r="F51" s="11"/>
      <c r="G51" s="11"/>
    </row>
    <row r="52">
      <c r="A52" s="11"/>
      <c r="B52" s="11"/>
      <c r="C52" s="11"/>
      <c r="D52" s="11"/>
      <c r="E52" s="11"/>
      <c r="F52" s="11"/>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row r="82">
      <c r="A82" s="11"/>
      <c r="B82" s="11"/>
      <c r="C82" s="11"/>
      <c r="D82" s="11"/>
      <c r="E82" s="11"/>
      <c r="F82" s="11"/>
      <c r="G82" s="11"/>
    </row>
    <row r="83">
      <c r="A83" s="11"/>
      <c r="B83" s="11"/>
      <c r="C83" s="11"/>
      <c r="D83" s="11"/>
      <c r="E83" s="11"/>
      <c r="F83" s="11"/>
      <c r="G83" s="11"/>
    </row>
    <row r="84">
      <c r="A84" s="11"/>
      <c r="B84" s="11"/>
      <c r="C84" s="11"/>
      <c r="D84" s="11"/>
      <c r="E84" s="11"/>
      <c r="F84" s="11"/>
      <c r="G84" s="11"/>
    </row>
    <row r="85">
      <c r="A85" s="11"/>
      <c r="B85" s="11"/>
      <c r="C85" s="11"/>
      <c r="D85" s="11"/>
      <c r="E85" s="11"/>
      <c r="F85" s="11"/>
      <c r="G85" s="11"/>
    </row>
    <row r="86">
      <c r="A86" s="11"/>
      <c r="B86" s="11"/>
      <c r="C86" s="11"/>
      <c r="D86" s="11"/>
      <c r="E86" s="11"/>
      <c r="F86" s="11"/>
      <c r="G86" s="11"/>
    </row>
    <row r="87">
      <c r="A87" s="11"/>
      <c r="B87" s="11"/>
      <c r="C87" s="11"/>
      <c r="D87" s="11"/>
      <c r="E87" s="11"/>
      <c r="F87" s="11"/>
      <c r="G87" s="11"/>
    </row>
    <row r="88">
      <c r="A88" s="11"/>
      <c r="B88" s="11"/>
      <c r="C88" s="11"/>
      <c r="D88" s="11"/>
      <c r="E88" s="11"/>
      <c r="F88" s="11"/>
      <c r="G88" s="11"/>
    </row>
    <row r="89">
      <c r="A89" s="11"/>
      <c r="B89" s="11"/>
      <c r="C89" s="11"/>
      <c r="D89" s="11"/>
      <c r="E89" s="11"/>
      <c r="F89" s="11"/>
      <c r="G89" s="11"/>
    </row>
    <row r="90">
      <c r="A90" s="11"/>
      <c r="B90" s="11"/>
      <c r="C90" s="11"/>
      <c r="D90" s="11"/>
      <c r="E90" s="11"/>
      <c r="F90" s="11"/>
      <c r="G90" s="11"/>
    </row>
    <row r="91">
      <c r="A91" s="11"/>
      <c r="B91" s="11"/>
      <c r="C91" s="11"/>
      <c r="D91" s="11"/>
      <c r="E91" s="11"/>
      <c r="F91" s="11"/>
      <c r="G91" s="11"/>
    </row>
    <row r="92">
      <c r="A92" s="11"/>
      <c r="B92" s="11"/>
      <c r="C92" s="11"/>
      <c r="D92" s="11"/>
      <c r="E92" s="11"/>
      <c r="F92" s="11"/>
      <c r="G92" s="11"/>
    </row>
    <row r="93">
      <c r="A93" s="11"/>
      <c r="B93" s="11"/>
      <c r="C93" s="11"/>
      <c r="D93" s="11"/>
      <c r="E93" s="11"/>
      <c r="F93" s="11"/>
      <c r="G93" s="11"/>
    </row>
    <row r="94">
      <c r="A94" s="11"/>
      <c r="B94" s="11"/>
      <c r="C94" s="11"/>
      <c r="D94" s="11"/>
      <c r="E94" s="11"/>
      <c r="F94" s="11"/>
      <c r="G94" s="11"/>
    </row>
    <row r="95">
      <c r="A95" s="11"/>
      <c r="B95" s="11"/>
      <c r="C95" s="11"/>
      <c r="D95" s="11"/>
      <c r="E95" s="11"/>
      <c r="F95" s="11"/>
      <c r="G95" s="11"/>
    </row>
    <row r="96">
      <c r="A96" s="11"/>
      <c r="B96" s="11"/>
      <c r="C96" s="11"/>
      <c r="D96" s="11"/>
      <c r="E96" s="11"/>
      <c r="F96" s="11"/>
      <c r="G96" s="11"/>
    </row>
    <row r="97">
      <c r="A97" s="11"/>
      <c r="B97" s="11"/>
      <c r="C97" s="11"/>
      <c r="D97" s="11"/>
      <c r="E97" s="11"/>
      <c r="F97" s="11"/>
      <c r="G97" s="11"/>
    </row>
    <row r="98">
      <c r="A98" s="11"/>
      <c r="B98" s="11"/>
      <c r="C98" s="11"/>
      <c r="D98" s="11"/>
      <c r="E98" s="11"/>
      <c r="F98" s="11"/>
      <c r="G98" s="11"/>
    </row>
    <row r="99">
      <c r="A99" s="11"/>
      <c r="B99" s="11"/>
      <c r="C99" s="11"/>
      <c r="D99" s="11"/>
      <c r="E99" s="11"/>
      <c r="F99" s="11"/>
      <c r="G99" s="11"/>
    </row>
    <row r="100">
      <c r="A100" s="11"/>
      <c r="B100" s="11"/>
      <c r="C100" s="11"/>
      <c r="D100" s="11"/>
      <c r="E100" s="11"/>
      <c r="F100" s="11"/>
      <c r="G100" s="11"/>
    </row>
    <row r="101">
      <c r="A101" s="11"/>
      <c r="B101" s="11"/>
      <c r="C101" s="11"/>
      <c r="D101" s="11"/>
      <c r="E101" s="11"/>
      <c r="F101" s="11"/>
      <c r="G101" s="11"/>
    </row>
    <row r="102">
      <c r="A102" s="11"/>
      <c r="B102" s="11"/>
      <c r="C102" s="11"/>
      <c r="D102" s="11"/>
      <c r="E102" s="11"/>
      <c r="F102" s="11"/>
      <c r="G102" s="11"/>
    </row>
    <row r="103">
      <c r="A103" s="11"/>
      <c r="B103" s="11"/>
      <c r="C103" s="11"/>
      <c r="D103" s="11"/>
      <c r="E103" s="11"/>
      <c r="F103" s="11"/>
      <c r="G103" s="11"/>
    </row>
    <row r="104">
      <c r="A104" s="11"/>
      <c r="B104" s="11"/>
      <c r="C104" s="11"/>
      <c r="D104" s="11"/>
      <c r="E104" s="11"/>
      <c r="F104" s="11"/>
      <c r="G104" s="11"/>
    </row>
    <row r="105">
      <c r="A105" s="11"/>
      <c r="B105" s="11"/>
      <c r="C105" s="11"/>
      <c r="D105" s="11"/>
      <c r="E105" s="11"/>
      <c r="F105" s="11"/>
      <c r="G105" s="11"/>
    </row>
    <row r="106">
      <c r="A106" s="11"/>
      <c r="B106" s="11"/>
      <c r="C106" s="11"/>
      <c r="D106" s="11"/>
      <c r="E106" s="11"/>
      <c r="F106" s="11"/>
      <c r="G106" s="11"/>
    </row>
    <row r="107">
      <c r="A107" s="11"/>
      <c r="B107" s="11"/>
      <c r="C107" s="11"/>
      <c r="D107" s="11"/>
      <c r="E107" s="11"/>
      <c r="F107" s="11"/>
      <c r="G107" s="11"/>
    </row>
    <row r="108">
      <c r="A108" s="11"/>
      <c r="B108" s="11"/>
      <c r="C108" s="11"/>
      <c r="D108" s="11"/>
      <c r="E108" s="11"/>
      <c r="F108" s="11"/>
      <c r="G108" s="11"/>
    </row>
    <row r="109">
      <c r="A109" s="11"/>
      <c r="B109" s="11"/>
      <c r="C109" s="11"/>
      <c r="D109" s="11"/>
      <c r="E109" s="11"/>
      <c r="F109" s="11"/>
      <c r="G109" s="11"/>
    </row>
    <row r="110">
      <c r="A110" s="11"/>
      <c r="B110" s="11"/>
      <c r="C110" s="11"/>
      <c r="D110" s="11"/>
      <c r="E110" s="11"/>
      <c r="F110" s="11"/>
      <c r="G110" s="11"/>
    </row>
    <row r="111">
      <c r="A111" s="11"/>
      <c r="B111" s="11"/>
      <c r="C111" s="11"/>
      <c r="D111" s="11"/>
      <c r="E111" s="11"/>
      <c r="F111" s="11"/>
      <c r="G111" s="11"/>
    </row>
    <row r="112">
      <c r="A112" s="11"/>
      <c r="B112" s="11"/>
      <c r="C112" s="11"/>
      <c r="D112" s="11"/>
      <c r="E112" s="11"/>
      <c r="F112" s="11"/>
      <c r="G112" s="11"/>
    </row>
    <row r="113">
      <c r="A113" s="11"/>
      <c r="B113" s="11"/>
      <c r="C113" s="11"/>
      <c r="D113" s="11"/>
      <c r="E113" s="11"/>
      <c r="F113" s="11"/>
      <c r="G113" s="11"/>
    </row>
    <row r="114">
      <c r="A114" s="11"/>
      <c r="B114" s="11"/>
      <c r="C114" s="11"/>
      <c r="D114" s="11"/>
      <c r="E114" s="11"/>
      <c r="F114" s="11"/>
      <c r="G114" s="11"/>
    </row>
    <row r="115">
      <c r="A115" s="11"/>
      <c r="B115" s="11"/>
      <c r="C115" s="11"/>
      <c r="D115" s="11"/>
      <c r="E115" s="11"/>
      <c r="F115" s="11"/>
      <c r="G115" s="11"/>
    </row>
    <row r="116">
      <c r="A116" s="11"/>
      <c r="B116" s="11"/>
      <c r="C116" s="11"/>
      <c r="D116" s="11"/>
      <c r="E116" s="11"/>
      <c r="F116" s="11"/>
      <c r="G116" s="11"/>
    </row>
    <row r="117">
      <c r="A117" s="11"/>
      <c r="B117" s="11"/>
      <c r="C117" s="11"/>
      <c r="D117" s="11"/>
      <c r="E117" s="11"/>
      <c r="F117" s="11"/>
      <c r="G117" s="11"/>
    </row>
    <row r="118">
      <c r="A118" s="11"/>
      <c r="B118" s="11"/>
      <c r="C118" s="11"/>
      <c r="D118" s="11"/>
      <c r="E118" s="11"/>
      <c r="F118" s="11"/>
      <c r="G118" s="11"/>
    </row>
    <row r="119">
      <c r="A119" s="11"/>
      <c r="B119" s="11"/>
      <c r="C119" s="11"/>
      <c r="D119" s="11"/>
      <c r="E119" s="11"/>
      <c r="F119" s="11"/>
      <c r="G119" s="11"/>
    </row>
    <row r="120">
      <c r="A120" s="11"/>
      <c r="B120" s="11"/>
      <c r="C120" s="11"/>
      <c r="D120" s="11"/>
      <c r="E120" s="11"/>
      <c r="F120" s="11"/>
      <c r="G120" s="11"/>
    </row>
    <row r="121">
      <c r="A121" s="11"/>
      <c r="B121" s="11"/>
      <c r="C121" s="11"/>
      <c r="D121" s="11"/>
      <c r="E121" s="11"/>
      <c r="F121" s="11"/>
      <c r="G121" s="11"/>
    </row>
    <row r="122">
      <c r="A122" s="11"/>
      <c r="B122" s="11"/>
      <c r="C122" s="11"/>
      <c r="D122" s="11"/>
      <c r="E122" s="11"/>
      <c r="F122" s="11"/>
      <c r="G122" s="11"/>
    </row>
    <row r="123">
      <c r="A123" s="11"/>
      <c r="B123" s="11"/>
      <c r="C123" s="11"/>
      <c r="D123" s="11"/>
      <c r="E123" s="11"/>
      <c r="F123" s="11"/>
      <c r="G123" s="11"/>
    </row>
    <row r="124">
      <c r="A124" s="11"/>
      <c r="B124" s="11"/>
      <c r="C124" s="11"/>
      <c r="D124" s="11"/>
      <c r="E124" s="11"/>
      <c r="F124" s="11"/>
      <c r="G124" s="11"/>
    </row>
    <row r="125">
      <c r="A125" s="11"/>
      <c r="B125" s="11"/>
      <c r="C125" s="11"/>
      <c r="D125" s="11"/>
      <c r="E125" s="11"/>
      <c r="F125" s="11"/>
      <c r="G125" s="11"/>
    </row>
    <row r="126">
      <c r="A126" s="11"/>
      <c r="B126" s="11"/>
      <c r="C126" s="11"/>
      <c r="D126" s="11"/>
      <c r="E126" s="11"/>
      <c r="F126" s="11"/>
      <c r="G126" s="11"/>
    </row>
    <row r="127">
      <c r="A127" s="11"/>
      <c r="B127" s="11"/>
      <c r="C127" s="11"/>
      <c r="D127" s="11"/>
      <c r="E127" s="11"/>
      <c r="F127" s="11"/>
      <c r="G127" s="11"/>
    </row>
    <row r="128">
      <c r="A128" s="11"/>
      <c r="B128" s="11"/>
      <c r="C128" s="11"/>
      <c r="D128" s="11"/>
      <c r="E128" s="11"/>
      <c r="F128" s="11"/>
      <c r="G128" s="11"/>
    </row>
    <row r="129">
      <c r="A129" s="11"/>
      <c r="B129" s="11"/>
      <c r="C129" s="11"/>
      <c r="D129" s="11"/>
      <c r="E129" s="11"/>
      <c r="F129" s="11"/>
      <c r="G129" s="11"/>
    </row>
    <row r="130">
      <c r="A130" s="11"/>
      <c r="B130" s="11"/>
      <c r="C130" s="11"/>
      <c r="D130" s="11"/>
      <c r="E130" s="11"/>
      <c r="F130" s="11"/>
      <c r="G130" s="11"/>
    </row>
    <row r="131">
      <c r="A131" s="11"/>
      <c r="B131" s="11"/>
      <c r="C131" s="11"/>
      <c r="D131" s="11"/>
      <c r="E131" s="11"/>
      <c r="F131" s="11"/>
      <c r="G131" s="11"/>
    </row>
    <row r="132">
      <c r="A132" s="11"/>
      <c r="B132" s="11"/>
      <c r="C132" s="11"/>
      <c r="D132" s="11"/>
      <c r="E132" s="11"/>
      <c r="F132" s="11"/>
      <c r="G132" s="11"/>
    </row>
    <row r="133">
      <c r="A133" s="11"/>
      <c r="B133" s="11"/>
      <c r="C133" s="11"/>
      <c r="D133" s="11"/>
      <c r="E133" s="11"/>
      <c r="F133" s="11"/>
      <c r="G133" s="11"/>
    </row>
    <row r="134">
      <c r="A134" s="11"/>
      <c r="B134" s="11"/>
      <c r="C134" s="11"/>
      <c r="D134" s="11"/>
      <c r="E134" s="11"/>
      <c r="F134" s="11"/>
      <c r="G134" s="11"/>
    </row>
    <row r="135">
      <c r="A135" s="11"/>
      <c r="B135" s="11"/>
      <c r="C135" s="11"/>
      <c r="D135" s="11"/>
      <c r="E135" s="11"/>
      <c r="F135" s="11"/>
      <c r="G135" s="11"/>
    </row>
    <row r="136">
      <c r="A136" s="11"/>
      <c r="B136" s="11"/>
      <c r="C136" s="11"/>
      <c r="D136" s="11"/>
      <c r="E136" s="11"/>
      <c r="F136" s="11"/>
      <c r="G136" s="11"/>
    </row>
    <row r="137">
      <c r="A137" s="11"/>
      <c r="B137" s="11"/>
      <c r="C137" s="11"/>
      <c r="D137" s="11"/>
      <c r="E137" s="11"/>
      <c r="F137" s="11"/>
      <c r="G137" s="11"/>
    </row>
    <row r="138">
      <c r="A138" s="11"/>
      <c r="B138" s="11"/>
      <c r="C138" s="11"/>
      <c r="D138" s="11"/>
      <c r="E138" s="11"/>
      <c r="F138" s="11"/>
      <c r="G138" s="11"/>
    </row>
    <row r="139">
      <c r="A139" s="11"/>
      <c r="B139" s="11"/>
      <c r="C139" s="11"/>
      <c r="D139" s="11"/>
      <c r="E139" s="11"/>
      <c r="F139" s="11"/>
      <c r="G139" s="11"/>
    </row>
    <row r="140">
      <c r="A140" s="11"/>
      <c r="B140" s="11"/>
      <c r="C140" s="11"/>
      <c r="D140" s="11"/>
      <c r="E140" s="11"/>
      <c r="F140" s="11"/>
      <c r="G140" s="11"/>
    </row>
    <row r="141">
      <c r="A141" s="11"/>
      <c r="B141" s="11"/>
      <c r="C141" s="11"/>
      <c r="D141" s="11"/>
      <c r="E141" s="11"/>
      <c r="F141" s="11"/>
      <c r="G141" s="11"/>
    </row>
    <row r="142">
      <c r="A142" s="11"/>
      <c r="B142" s="11"/>
      <c r="C142" s="11"/>
      <c r="D142" s="11"/>
      <c r="E142" s="11"/>
      <c r="F142" s="11"/>
      <c r="G142" s="11"/>
    </row>
    <row r="143">
      <c r="A143" s="11"/>
      <c r="B143" s="11"/>
      <c r="C143" s="11"/>
      <c r="D143" s="11"/>
      <c r="E143" s="11"/>
      <c r="F143" s="11"/>
      <c r="G143" s="11"/>
    </row>
    <row r="144">
      <c r="A144" s="11"/>
      <c r="B144" s="11"/>
      <c r="C144" s="11"/>
      <c r="D144" s="11"/>
      <c r="E144" s="11"/>
      <c r="F144" s="11"/>
      <c r="G144" s="11"/>
    </row>
    <row r="145">
      <c r="A145" s="11"/>
      <c r="B145" s="11"/>
      <c r="C145" s="11"/>
      <c r="D145" s="11"/>
      <c r="E145" s="11"/>
      <c r="F145" s="11"/>
      <c r="G145" s="11"/>
    </row>
    <row r="146">
      <c r="A146" s="11"/>
      <c r="B146" s="11"/>
      <c r="C146" s="11"/>
      <c r="D146" s="11"/>
      <c r="E146" s="11"/>
      <c r="F146" s="11"/>
      <c r="G146" s="11"/>
    </row>
    <row r="147">
      <c r="A147" s="11"/>
      <c r="B147" s="11"/>
      <c r="C147" s="11"/>
      <c r="D147" s="11"/>
      <c r="E147" s="11"/>
      <c r="F147" s="11"/>
      <c r="G147" s="11"/>
    </row>
    <row r="148">
      <c r="A148" s="11"/>
      <c r="B148" s="11"/>
      <c r="C148" s="11"/>
      <c r="D148" s="11"/>
      <c r="E148" s="11"/>
      <c r="F148" s="11"/>
      <c r="G148" s="11"/>
    </row>
    <row r="149">
      <c r="A149" s="11"/>
      <c r="B149" s="11"/>
      <c r="C149" s="11"/>
      <c r="D149" s="11"/>
      <c r="E149" s="11"/>
      <c r="F149" s="11"/>
      <c r="G149" s="11"/>
    </row>
    <row r="150">
      <c r="A150" s="11"/>
      <c r="B150" s="11"/>
      <c r="C150" s="11"/>
      <c r="D150" s="11"/>
      <c r="E150" s="11"/>
      <c r="F150" s="11"/>
      <c r="G150" s="11"/>
    </row>
    <row r="151">
      <c r="A151" s="11"/>
      <c r="B151" s="11"/>
      <c r="C151" s="11"/>
      <c r="D151" s="11"/>
      <c r="E151" s="11"/>
      <c r="F151" s="11"/>
      <c r="G151" s="11"/>
    </row>
    <row r="152">
      <c r="A152" s="11"/>
      <c r="B152" s="11"/>
      <c r="C152" s="11"/>
      <c r="D152" s="11"/>
      <c r="E152" s="11"/>
      <c r="F152" s="11"/>
      <c r="G152" s="11"/>
    </row>
    <row r="153">
      <c r="A153" s="11"/>
      <c r="B153" s="11"/>
      <c r="C153" s="11"/>
      <c r="D153" s="11"/>
      <c r="E153" s="11"/>
      <c r="F153" s="11"/>
      <c r="G153" s="11"/>
    </row>
    <row r="154">
      <c r="A154" s="11"/>
      <c r="B154" s="11"/>
      <c r="C154" s="11"/>
      <c r="D154" s="11"/>
      <c r="E154" s="11"/>
      <c r="F154" s="11"/>
      <c r="G154" s="11"/>
    </row>
    <row r="155">
      <c r="A155" s="11"/>
      <c r="B155" s="11"/>
      <c r="C155" s="11"/>
      <c r="D155" s="11"/>
      <c r="E155" s="11"/>
      <c r="F155" s="11"/>
      <c r="G155" s="11"/>
    </row>
    <row r="156">
      <c r="A156" s="11"/>
      <c r="B156" s="11"/>
      <c r="C156" s="11"/>
      <c r="D156" s="11"/>
      <c r="E156" s="11"/>
      <c r="F156" s="11"/>
      <c r="G156" s="11"/>
    </row>
    <row r="157">
      <c r="A157" s="11"/>
      <c r="B157" s="11"/>
      <c r="C157" s="11"/>
      <c r="D157" s="11"/>
      <c r="E157" s="11"/>
      <c r="F157" s="11"/>
      <c r="G157" s="11"/>
    </row>
    <row r="158">
      <c r="A158" s="11"/>
      <c r="B158" s="11"/>
      <c r="C158" s="11"/>
      <c r="D158" s="11"/>
      <c r="E158" s="11"/>
      <c r="F158" s="11"/>
      <c r="G158" s="11"/>
    </row>
    <row r="159">
      <c r="A159" s="11"/>
      <c r="B159" s="11"/>
      <c r="C159" s="11"/>
      <c r="D159" s="11"/>
      <c r="E159" s="11"/>
      <c r="F159" s="11"/>
      <c r="G159" s="11"/>
    </row>
    <row r="160">
      <c r="A160" s="11"/>
      <c r="B160" s="11"/>
      <c r="C160" s="11"/>
      <c r="D160" s="11"/>
      <c r="E160" s="11"/>
      <c r="F160" s="11"/>
      <c r="G160" s="11"/>
    </row>
    <row r="161">
      <c r="A161" s="11"/>
      <c r="B161" s="11"/>
      <c r="C161" s="11"/>
      <c r="D161" s="11"/>
      <c r="E161" s="11"/>
      <c r="F161" s="11"/>
      <c r="G161" s="11"/>
    </row>
    <row r="162">
      <c r="A162" s="11"/>
      <c r="B162" s="11"/>
      <c r="C162" s="11"/>
      <c r="D162" s="11"/>
      <c r="E162" s="11"/>
      <c r="F162" s="11"/>
      <c r="G162" s="11"/>
    </row>
    <row r="163">
      <c r="A163" s="11"/>
      <c r="B163" s="11"/>
      <c r="C163" s="11"/>
      <c r="D163" s="11"/>
      <c r="E163" s="11"/>
      <c r="F163" s="11"/>
      <c r="G163" s="11"/>
    </row>
    <row r="164">
      <c r="A164" s="11"/>
      <c r="B164" s="11"/>
      <c r="C164" s="11"/>
      <c r="D164" s="11"/>
      <c r="E164" s="11"/>
      <c r="F164" s="11"/>
      <c r="G164" s="11"/>
    </row>
    <row r="165">
      <c r="A165" s="11"/>
      <c r="B165" s="11"/>
      <c r="C165" s="11"/>
      <c r="D165" s="11"/>
      <c r="E165" s="11"/>
      <c r="F165" s="11"/>
      <c r="G165" s="11"/>
    </row>
    <row r="166">
      <c r="A166" s="11"/>
      <c r="B166" s="11"/>
      <c r="C166" s="11"/>
      <c r="D166" s="11"/>
      <c r="E166" s="11"/>
      <c r="F166" s="11"/>
      <c r="G166" s="11"/>
    </row>
    <row r="167">
      <c r="A167" s="11"/>
      <c r="B167" s="11"/>
      <c r="C167" s="11"/>
      <c r="D167" s="11"/>
      <c r="E167" s="11"/>
      <c r="F167" s="11"/>
      <c r="G167" s="11"/>
    </row>
    <row r="168">
      <c r="A168" s="11"/>
      <c r="B168" s="11"/>
      <c r="C168" s="11"/>
      <c r="D168" s="11"/>
      <c r="E168" s="11"/>
      <c r="F168" s="11"/>
      <c r="G168" s="11"/>
    </row>
    <row r="169">
      <c r="A169" s="11"/>
      <c r="B169" s="11"/>
      <c r="C169" s="11"/>
      <c r="D169" s="11"/>
      <c r="E169" s="11"/>
      <c r="F169" s="11"/>
      <c r="G169" s="11"/>
    </row>
    <row r="170">
      <c r="A170" s="11"/>
      <c r="B170" s="11"/>
      <c r="C170" s="11"/>
      <c r="D170" s="11"/>
      <c r="E170" s="11"/>
      <c r="F170" s="11"/>
      <c r="G170" s="11"/>
    </row>
    <row r="171">
      <c r="A171" s="11"/>
      <c r="B171" s="11"/>
      <c r="C171" s="11"/>
      <c r="D171" s="11"/>
      <c r="E171" s="11"/>
      <c r="F171" s="11"/>
      <c r="G171" s="11"/>
    </row>
    <row r="172">
      <c r="A172" s="11"/>
      <c r="B172" s="11"/>
      <c r="C172" s="11"/>
      <c r="D172" s="11"/>
      <c r="E172" s="11"/>
      <c r="F172" s="11"/>
      <c r="G172" s="11"/>
    </row>
    <row r="173">
      <c r="A173" s="11"/>
      <c r="B173" s="11"/>
      <c r="C173" s="11"/>
      <c r="D173" s="11"/>
      <c r="E173" s="11"/>
      <c r="F173" s="11"/>
      <c r="G173" s="11"/>
    </row>
    <row r="174">
      <c r="A174" s="11"/>
      <c r="B174" s="11"/>
      <c r="C174" s="11"/>
      <c r="D174" s="11"/>
      <c r="E174" s="11"/>
      <c r="F174" s="11"/>
      <c r="G174" s="11"/>
    </row>
    <row r="175">
      <c r="A175" s="11"/>
      <c r="B175" s="11"/>
      <c r="C175" s="11"/>
      <c r="D175" s="11"/>
      <c r="E175" s="11"/>
      <c r="F175" s="11"/>
      <c r="G175" s="11"/>
    </row>
    <row r="176">
      <c r="A176" s="11"/>
      <c r="B176" s="11"/>
      <c r="C176" s="11"/>
      <c r="D176" s="11"/>
      <c r="E176" s="11"/>
      <c r="F176" s="11"/>
      <c r="G176" s="11"/>
    </row>
    <row r="177">
      <c r="A177" s="11"/>
      <c r="B177" s="11"/>
      <c r="C177" s="11"/>
      <c r="D177" s="11"/>
      <c r="E177" s="11"/>
      <c r="F177" s="11"/>
      <c r="G177" s="11"/>
    </row>
    <row r="178">
      <c r="A178" s="11"/>
      <c r="B178" s="11"/>
      <c r="C178" s="11"/>
      <c r="D178" s="11"/>
      <c r="E178" s="11"/>
      <c r="F178" s="11"/>
      <c r="G178" s="11"/>
    </row>
    <row r="179">
      <c r="A179" s="11"/>
      <c r="B179" s="11"/>
      <c r="C179" s="11"/>
      <c r="D179" s="11"/>
      <c r="E179" s="11"/>
      <c r="F179" s="11"/>
      <c r="G179" s="11"/>
    </row>
    <row r="180">
      <c r="A180" s="11"/>
      <c r="B180" s="11"/>
      <c r="C180" s="11"/>
      <c r="D180" s="11"/>
      <c r="E180" s="11"/>
      <c r="F180" s="11"/>
      <c r="G180" s="11"/>
    </row>
    <row r="181">
      <c r="A181" s="11"/>
      <c r="B181" s="11"/>
      <c r="C181" s="11"/>
      <c r="D181" s="11"/>
      <c r="E181" s="11"/>
      <c r="F181" s="11"/>
      <c r="G181" s="11"/>
    </row>
    <row r="182">
      <c r="A182" s="11"/>
      <c r="B182" s="11"/>
      <c r="C182" s="11"/>
      <c r="D182" s="11"/>
      <c r="E182" s="11"/>
      <c r="F182" s="11"/>
      <c r="G182" s="11"/>
    </row>
    <row r="183">
      <c r="A183" s="11"/>
      <c r="B183" s="11"/>
      <c r="C183" s="11"/>
      <c r="D183" s="11"/>
      <c r="E183" s="11"/>
      <c r="F183" s="11"/>
      <c r="G183" s="11"/>
    </row>
    <row r="184">
      <c r="A184" s="11"/>
      <c r="B184" s="11"/>
      <c r="C184" s="11"/>
      <c r="D184" s="11"/>
      <c r="E184" s="11"/>
      <c r="F184" s="11"/>
      <c r="G184" s="11"/>
    </row>
    <row r="185">
      <c r="A185" s="11"/>
      <c r="B185" s="11"/>
      <c r="C185" s="11"/>
      <c r="D185" s="11"/>
      <c r="E185" s="11"/>
      <c r="F185" s="11"/>
      <c r="G185" s="11"/>
    </row>
    <row r="186">
      <c r="A186" s="11"/>
      <c r="B186" s="11"/>
      <c r="C186" s="11"/>
      <c r="D186" s="11"/>
      <c r="E186" s="11"/>
      <c r="F186" s="11"/>
      <c r="G186" s="11"/>
    </row>
    <row r="187">
      <c r="A187" s="11"/>
      <c r="B187" s="11"/>
      <c r="C187" s="11"/>
      <c r="D187" s="11"/>
      <c r="E187" s="11"/>
      <c r="F187" s="11"/>
      <c r="G187" s="11"/>
    </row>
    <row r="188">
      <c r="A188" s="11"/>
      <c r="B188" s="11"/>
      <c r="C188" s="11"/>
      <c r="D188" s="11"/>
      <c r="E188" s="11"/>
      <c r="F188" s="11"/>
      <c r="G188" s="11"/>
    </row>
    <row r="189">
      <c r="A189" s="11"/>
      <c r="B189" s="11"/>
      <c r="C189" s="11"/>
      <c r="D189" s="11"/>
      <c r="E189" s="11"/>
      <c r="F189" s="11"/>
      <c r="G189" s="11"/>
    </row>
    <row r="190">
      <c r="A190" s="11"/>
      <c r="B190" s="11"/>
      <c r="C190" s="11"/>
      <c r="D190" s="11"/>
      <c r="E190" s="11"/>
      <c r="F190" s="11"/>
      <c r="G190" s="11"/>
    </row>
    <row r="191">
      <c r="A191" s="11"/>
      <c r="B191" s="11"/>
      <c r="C191" s="11"/>
      <c r="D191" s="11"/>
      <c r="E191" s="11"/>
      <c r="F191" s="11"/>
      <c r="G191" s="11"/>
    </row>
    <row r="192">
      <c r="A192" s="11"/>
      <c r="B192" s="11"/>
      <c r="C192" s="11"/>
      <c r="D192" s="11"/>
      <c r="E192" s="11"/>
      <c r="F192" s="11"/>
      <c r="G192" s="11"/>
    </row>
    <row r="193">
      <c r="A193" s="11"/>
      <c r="B193" s="11"/>
      <c r="C193" s="11"/>
      <c r="D193" s="11"/>
      <c r="E193" s="11"/>
      <c r="F193" s="11"/>
      <c r="G193" s="11"/>
    </row>
    <row r="194">
      <c r="A194" s="11"/>
      <c r="B194" s="11"/>
      <c r="C194" s="11"/>
      <c r="D194" s="11"/>
      <c r="E194" s="11"/>
      <c r="F194" s="11"/>
      <c r="G194" s="11"/>
    </row>
    <row r="195">
      <c r="A195" s="11"/>
      <c r="B195" s="11"/>
      <c r="C195" s="11"/>
      <c r="D195" s="11"/>
      <c r="E195" s="11"/>
      <c r="F195" s="11"/>
      <c r="G195" s="11"/>
    </row>
    <row r="196">
      <c r="A196" s="11"/>
      <c r="B196" s="11"/>
      <c r="C196" s="11"/>
      <c r="D196" s="11"/>
      <c r="E196" s="11"/>
      <c r="F196" s="11"/>
      <c r="G196" s="11"/>
    </row>
    <row r="197">
      <c r="A197" s="11"/>
      <c r="B197" s="11"/>
      <c r="C197" s="11"/>
      <c r="D197" s="11"/>
      <c r="E197" s="11"/>
      <c r="F197" s="11"/>
      <c r="G197" s="11"/>
    </row>
    <row r="198">
      <c r="A198" s="11"/>
      <c r="B198" s="11"/>
      <c r="C198" s="11"/>
      <c r="D198" s="11"/>
      <c r="E198" s="11"/>
      <c r="F198" s="11"/>
      <c r="G198" s="11"/>
    </row>
    <row r="199">
      <c r="A199" s="11"/>
      <c r="B199" s="11"/>
      <c r="C199" s="11"/>
      <c r="D199" s="11"/>
      <c r="E199" s="11"/>
      <c r="F199" s="11"/>
      <c r="G199" s="11"/>
    </row>
    <row r="200">
      <c r="A200" s="11"/>
      <c r="B200" s="11"/>
      <c r="C200" s="11"/>
      <c r="D200" s="11"/>
      <c r="E200" s="11"/>
      <c r="F200" s="11"/>
      <c r="G200" s="11"/>
    </row>
    <row r="201">
      <c r="A201" s="11"/>
      <c r="B201" s="11"/>
      <c r="C201" s="11"/>
      <c r="D201" s="11"/>
      <c r="E201" s="11"/>
      <c r="F201" s="11"/>
      <c r="G201" s="11"/>
    </row>
    <row r="202">
      <c r="A202" s="11"/>
      <c r="B202" s="11"/>
      <c r="C202" s="11"/>
      <c r="D202" s="11"/>
      <c r="E202" s="11"/>
      <c r="F202" s="11"/>
      <c r="G202" s="11"/>
    </row>
    <row r="203">
      <c r="A203" s="11"/>
      <c r="B203" s="11"/>
      <c r="C203" s="11"/>
      <c r="D203" s="11"/>
      <c r="E203" s="11"/>
      <c r="F203" s="11"/>
      <c r="G203" s="11"/>
    </row>
    <row r="204">
      <c r="A204" s="11"/>
      <c r="B204" s="11"/>
      <c r="C204" s="11"/>
      <c r="D204" s="11"/>
      <c r="E204" s="11"/>
      <c r="F204" s="11"/>
      <c r="G204" s="11"/>
    </row>
    <row r="205">
      <c r="A205" s="11"/>
      <c r="B205" s="11"/>
      <c r="C205" s="11"/>
      <c r="D205" s="11"/>
      <c r="E205" s="11"/>
      <c r="F205" s="11"/>
      <c r="G205" s="11"/>
    </row>
    <row r="206">
      <c r="A206" s="11"/>
      <c r="B206" s="11"/>
      <c r="C206" s="11"/>
      <c r="D206" s="11"/>
      <c r="E206" s="11"/>
      <c r="F206" s="11"/>
      <c r="G206" s="11"/>
    </row>
    <row r="207">
      <c r="A207" s="11"/>
      <c r="B207" s="11"/>
      <c r="C207" s="11"/>
      <c r="D207" s="11"/>
      <c r="E207" s="11"/>
      <c r="F207" s="11"/>
      <c r="G207" s="11"/>
    </row>
    <row r="208">
      <c r="A208" s="11"/>
      <c r="B208" s="11"/>
      <c r="C208" s="11"/>
      <c r="D208" s="11"/>
      <c r="E208" s="11"/>
      <c r="F208" s="11"/>
      <c r="G208" s="11"/>
    </row>
    <row r="209">
      <c r="A209" s="11"/>
      <c r="B209" s="11"/>
      <c r="C209" s="11"/>
      <c r="D209" s="11"/>
      <c r="E209" s="11"/>
      <c r="F209" s="11"/>
      <c r="G209" s="11"/>
    </row>
    <row r="210">
      <c r="A210" s="11"/>
      <c r="B210" s="11"/>
      <c r="C210" s="11"/>
      <c r="D210" s="11"/>
      <c r="E210" s="11"/>
      <c r="F210" s="11"/>
      <c r="G210" s="11"/>
    </row>
    <row r="211">
      <c r="A211" s="11"/>
      <c r="B211" s="11"/>
      <c r="C211" s="11"/>
      <c r="D211" s="11"/>
      <c r="E211" s="11"/>
      <c r="F211" s="11"/>
      <c r="G211" s="11"/>
    </row>
    <row r="212">
      <c r="A212" s="11"/>
      <c r="B212" s="11"/>
      <c r="C212" s="11"/>
      <c r="D212" s="11"/>
      <c r="E212" s="11"/>
      <c r="F212" s="11"/>
      <c r="G212" s="11"/>
    </row>
    <row r="213">
      <c r="A213" s="11"/>
      <c r="B213" s="11"/>
      <c r="C213" s="11"/>
      <c r="D213" s="11"/>
      <c r="E213" s="11"/>
      <c r="F213" s="11"/>
      <c r="G213" s="11"/>
    </row>
    <row r="214">
      <c r="A214" s="11"/>
      <c r="B214" s="11"/>
      <c r="C214" s="11"/>
      <c r="D214" s="11"/>
      <c r="E214" s="11"/>
      <c r="F214" s="11"/>
      <c r="G214" s="11"/>
    </row>
    <row r="215">
      <c r="A215" s="11"/>
      <c r="B215" s="11"/>
      <c r="C215" s="11"/>
      <c r="D215" s="11"/>
      <c r="E215" s="11"/>
      <c r="F215" s="11"/>
      <c r="G215" s="11"/>
    </row>
    <row r="216">
      <c r="A216" s="11"/>
      <c r="B216" s="11"/>
      <c r="C216" s="11"/>
      <c r="D216" s="11"/>
      <c r="E216" s="11"/>
      <c r="F216" s="11"/>
      <c r="G216" s="11"/>
    </row>
    <row r="217">
      <c r="A217" s="11"/>
      <c r="B217" s="11"/>
      <c r="C217" s="11"/>
      <c r="D217" s="11"/>
      <c r="E217" s="11"/>
      <c r="F217" s="11"/>
      <c r="G217" s="11"/>
    </row>
    <row r="218">
      <c r="A218" s="11"/>
      <c r="B218" s="11"/>
      <c r="C218" s="11"/>
      <c r="D218" s="11"/>
      <c r="E218" s="11"/>
      <c r="F218" s="11"/>
      <c r="G218" s="11"/>
    </row>
    <row r="219">
      <c r="A219" s="11"/>
      <c r="B219" s="11"/>
      <c r="C219" s="11"/>
      <c r="D219" s="11"/>
      <c r="E219" s="11"/>
      <c r="F219" s="11"/>
      <c r="G219" s="11"/>
    </row>
    <row r="220">
      <c r="A220" s="11"/>
      <c r="B220" s="11"/>
      <c r="C220" s="11"/>
      <c r="D220" s="11"/>
      <c r="E220" s="11"/>
      <c r="F220" s="11"/>
      <c r="G220" s="11"/>
    </row>
    <row r="221">
      <c r="A221" s="11"/>
      <c r="B221" s="11"/>
      <c r="C221" s="11"/>
      <c r="D221" s="11"/>
      <c r="E221" s="11"/>
      <c r="F221" s="11"/>
      <c r="G221" s="11"/>
    </row>
    <row r="222">
      <c r="A222" s="11"/>
      <c r="B222" s="11"/>
      <c r="C222" s="11"/>
      <c r="D222" s="11"/>
      <c r="E222" s="11"/>
      <c r="F222" s="11"/>
      <c r="G222" s="11"/>
    </row>
    <row r="223">
      <c r="A223" s="11"/>
      <c r="B223" s="11"/>
      <c r="C223" s="11"/>
      <c r="D223" s="11"/>
      <c r="E223" s="11"/>
      <c r="F223" s="11"/>
      <c r="G223" s="11"/>
    </row>
    <row r="224">
      <c r="A224" s="11"/>
      <c r="B224" s="11"/>
      <c r="C224" s="11"/>
      <c r="D224" s="11"/>
      <c r="E224" s="11"/>
      <c r="F224" s="11"/>
      <c r="G224" s="11"/>
    </row>
    <row r="225">
      <c r="A225" s="11"/>
      <c r="B225" s="11"/>
      <c r="C225" s="11"/>
      <c r="D225" s="11"/>
      <c r="E225" s="11"/>
      <c r="F225" s="11"/>
      <c r="G225" s="11"/>
    </row>
    <row r="226">
      <c r="A226" s="11"/>
      <c r="B226" s="11"/>
      <c r="C226" s="11"/>
      <c r="D226" s="11"/>
      <c r="E226" s="11"/>
      <c r="F226" s="11"/>
      <c r="G226" s="11"/>
    </row>
    <row r="227">
      <c r="A227" s="11"/>
      <c r="B227" s="11"/>
      <c r="C227" s="11"/>
      <c r="D227" s="11"/>
      <c r="E227" s="11"/>
      <c r="F227" s="11"/>
      <c r="G227" s="11"/>
    </row>
    <row r="228">
      <c r="A228" s="11"/>
      <c r="B228" s="11"/>
      <c r="C228" s="11"/>
      <c r="D228" s="11"/>
      <c r="E228" s="11"/>
      <c r="F228" s="11"/>
      <c r="G228" s="11"/>
    </row>
    <row r="229">
      <c r="A229" s="11"/>
      <c r="B229" s="11"/>
      <c r="C229" s="11"/>
      <c r="D229" s="11"/>
      <c r="E229" s="11"/>
      <c r="F229" s="11"/>
      <c r="G229" s="11"/>
    </row>
    <row r="230">
      <c r="A230" s="11"/>
      <c r="B230" s="11"/>
      <c r="C230" s="11"/>
      <c r="D230" s="11"/>
      <c r="E230" s="11"/>
      <c r="F230" s="11"/>
      <c r="G230" s="11"/>
    </row>
    <row r="231">
      <c r="A231" s="11"/>
      <c r="B231" s="11"/>
      <c r="C231" s="11"/>
      <c r="D231" s="11"/>
      <c r="E231" s="11"/>
      <c r="F231" s="11"/>
      <c r="G231" s="11"/>
    </row>
    <row r="232">
      <c r="A232" s="11"/>
      <c r="B232" s="11"/>
      <c r="C232" s="11"/>
      <c r="D232" s="11"/>
      <c r="E232" s="11"/>
      <c r="F232" s="11"/>
      <c r="G232" s="11"/>
    </row>
    <row r="233">
      <c r="A233" s="11"/>
      <c r="B233" s="11"/>
      <c r="C233" s="11"/>
      <c r="D233" s="11"/>
      <c r="E233" s="11"/>
      <c r="F233" s="11"/>
      <c r="G233" s="11"/>
    </row>
    <row r="234">
      <c r="A234" s="11"/>
      <c r="B234" s="11"/>
      <c r="C234" s="11"/>
      <c r="D234" s="11"/>
      <c r="E234" s="11"/>
      <c r="F234" s="11"/>
      <c r="G234" s="11"/>
    </row>
    <row r="235">
      <c r="A235" s="11"/>
      <c r="B235" s="11"/>
      <c r="C235" s="11"/>
      <c r="D235" s="11"/>
      <c r="E235" s="11"/>
      <c r="F235" s="11"/>
      <c r="G235" s="11"/>
    </row>
    <row r="236">
      <c r="A236" s="11"/>
      <c r="B236" s="11"/>
      <c r="C236" s="11"/>
      <c r="D236" s="11"/>
      <c r="E236" s="11"/>
      <c r="F236" s="11"/>
      <c r="G236" s="11"/>
    </row>
    <row r="237">
      <c r="A237" s="11"/>
      <c r="B237" s="11"/>
      <c r="C237" s="11"/>
      <c r="D237" s="11"/>
      <c r="E237" s="11"/>
      <c r="F237" s="11"/>
      <c r="G237" s="11"/>
    </row>
    <row r="238">
      <c r="A238" s="11"/>
      <c r="B238" s="11"/>
      <c r="C238" s="11"/>
      <c r="D238" s="11"/>
      <c r="E238" s="11"/>
      <c r="F238" s="11"/>
      <c r="G238" s="11"/>
    </row>
    <row r="239">
      <c r="A239" s="11"/>
      <c r="B239" s="11"/>
      <c r="C239" s="11"/>
      <c r="D239" s="11"/>
      <c r="E239" s="11"/>
      <c r="F239" s="11"/>
      <c r="G239" s="11"/>
    </row>
    <row r="240">
      <c r="A240" s="11"/>
      <c r="B240" s="11"/>
      <c r="C240" s="11"/>
      <c r="D240" s="11"/>
      <c r="E240" s="11"/>
      <c r="F240" s="11"/>
      <c r="G240" s="11"/>
    </row>
    <row r="241">
      <c r="A241" s="11"/>
      <c r="B241" s="11"/>
      <c r="C241" s="11"/>
      <c r="D241" s="11"/>
      <c r="E241" s="11"/>
      <c r="F241" s="11"/>
      <c r="G241" s="11"/>
    </row>
    <row r="242">
      <c r="A242" s="11"/>
      <c r="B242" s="11"/>
      <c r="C242" s="11"/>
      <c r="D242" s="11"/>
      <c r="E242" s="11"/>
      <c r="F242" s="11"/>
      <c r="G242" s="11"/>
    </row>
    <row r="243">
      <c r="A243" s="11"/>
      <c r="B243" s="11"/>
      <c r="C243" s="11"/>
      <c r="D243" s="11"/>
      <c r="E243" s="11"/>
      <c r="F243" s="11"/>
      <c r="G243" s="11"/>
    </row>
    <row r="244">
      <c r="A244" s="11"/>
      <c r="B244" s="11"/>
      <c r="C244" s="11"/>
      <c r="D244" s="11"/>
      <c r="E244" s="11"/>
      <c r="F244" s="11"/>
      <c r="G244" s="11"/>
    </row>
    <row r="245">
      <c r="A245" s="11"/>
      <c r="B245" s="11"/>
      <c r="C245" s="11"/>
      <c r="D245" s="11"/>
      <c r="E245" s="11"/>
      <c r="F245" s="11"/>
      <c r="G245" s="11"/>
    </row>
    <row r="246">
      <c r="A246" s="11"/>
      <c r="B246" s="11"/>
      <c r="C246" s="11"/>
      <c r="D246" s="11"/>
      <c r="E246" s="11"/>
      <c r="F246" s="11"/>
      <c r="G246" s="11"/>
    </row>
    <row r="247">
      <c r="A247" s="11"/>
      <c r="B247" s="11"/>
      <c r="C247" s="11"/>
      <c r="D247" s="11"/>
      <c r="E247" s="11"/>
      <c r="F247" s="11"/>
      <c r="G247" s="11"/>
    </row>
    <row r="248">
      <c r="A248" s="11"/>
      <c r="B248" s="11"/>
      <c r="C248" s="11"/>
      <c r="D248" s="11"/>
      <c r="E248" s="11"/>
      <c r="F248" s="11"/>
      <c r="G248" s="11"/>
    </row>
    <row r="249">
      <c r="A249" s="11"/>
      <c r="B249" s="11"/>
      <c r="C249" s="11"/>
      <c r="D249" s="11"/>
      <c r="E249" s="11"/>
      <c r="F249" s="11"/>
      <c r="G249" s="11"/>
    </row>
    <row r="250">
      <c r="A250" s="11"/>
      <c r="B250" s="11"/>
      <c r="C250" s="11"/>
      <c r="D250" s="11"/>
      <c r="E250" s="11"/>
      <c r="F250" s="11"/>
      <c r="G250" s="11"/>
    </row>
    <row r="251">
      <c r="A251" s="11"/>
      <c r="B251" s="11"/>
      <c r="C251" s="11"/>
      <c r="D251" s="11"/>
      <c r="E251" s="11"/>
      <c r="F251" s="11"/>
      <c r="G251" s="11"/>
    </row>
    <row r="252">
      <c r="A252" s="11"/>
      <c r="B252" s="11"/>
      <c r="C252" s="11"/>
      <c r="D252" s="11"/>
      <c r="E252" s="11"/>
      <c r="F252" s="11"/>
      <c r="G252" s="11"/>
    </row>
    <row r="253">
      <c r="A253" s="11"/>
      <c r="B253" s="11"/>
      <c r="C253" s="11"/>
      <c r="D253" s="11"/>
      <c r="E253" s="11"/>
      <c r="F253" s="11"/>
      <c r="G253" s="11"/>
    </row>
    <row r="254">
      <c r="A254" s="11"/>
      <c r="B254" s="11"/>
      <c r="C254" s="11"/>
      <c r="D254" s="11"/>
      <c r="E254" s="11"/>
      <c r="F254" s="11"/>
      <c r="G254" s="11"/>
    </row>
    <row r="255">
      <c r="A255" s="11"/>
      <c r="B255" s="11"/>
      <c r="C255" s="11"/>
      <c r="D255" s="11"/>
      <c r="E255" s="11"/>
      <c r="F255" s="11"/>
      <c r="G255" s="11"/>
    </row>
    <row r="256">
      <c r="A256" s="11"/>
      <c r="B256" s="11"/>
      <c r="C256" s="11"/>
      <c r="D256" s="11"/>
      <c r="E256" s="11"/>
      <c r="F256" s="11"/>
      <c r="G256" s="11"/>
    </row>
    <row r="257">
      <c r="A257" s="11"/>
      <c r="B257" s="11"/>
      <c r="C257" s="11"/>
      <c r="D257" s="11"/>
      <c r="E257" s="11"/>
      <c r="F257" s="11"/>
      <c r="G257" s="11"/>
    </row>
    <row r="258">
      <c r="A258" s="11"/>
      <c r="B258" s="11"/>
      <c r="C258" s="11"/>
      <c r="D258" s="11"/>
      <c r="E258" s="11"/>
      <c r="F258" s="11"/>
      <c r="G258" s="11"/>
    </row>
    <row r="259">
      <c r="A259" s="11"/>
      <c r="B259" s="11"/>
      <c r="C259" s="11"/>
      <c r="D259" s="11"/>
      <c r="E259" s="11"/>
      <c r="F259" s="11"/>
      <c r="G259" s="11"/>
    </row>
    <row r="260">
      <c r="A260" s="11"/>
      <c r="B260" s="11"/>
      <c r="C260" s="11"/>
      <c r="D260" s="11"/>
      <c r="E260" s="11"/>
      <c r="F260" s="11"/>
      <c r="G260" s="11"/>
    </row>
    <row r="261">
      <c r="A261" s="11"/>
      <c r="B261" s="11"/>
      <c r="C261" s="11"/>
      <c r="D261" s="11"/>
      <c r="E261" s="11"/>
      <c r="F261" s="11"/>
      <c r="G261" s="11"/>
    </row>
    <row r="262">
      <c r="A262" s="11"/>
      <c r="B262" s="11"/>
      <c r="C262" s="11"/>
      <c r="D262" s="11"/>
      <c r="E262" s="11"/>
      <c r="F262" s="11"/>
      <c r="G262" s="11"/>
    </row>
    <row r="263">
      <c r="A263" s="11"/>
      <c r="B263" s="11"/>
      <c r="C263" s="11"/>
      <c r="D263" s="11"/>
      <c r="E263" s="11"/>
      <c r="F263" s="11"/>
      <c r="G263" s="11"/>
    </row>
    <row r="264">
      <c r="A264" s="11"/>
      <c r="B264" s="11"/>
      <c r="C264" s="11"/>
      <c r="D264" s="11"/>
      <c r="E264" s="11"/>
      <c r="F264" s="11"/>
      <c r="G264" s="11"/>
    </row>
    <row r="265">
      <c r="A265" s="11"/>
      <c r="B265" s="11"/>
      <c r="C265" s="11"/>
      <c r="D265" s="11"/>
      <c r="E265" s="11"/>
      <c r="F265" s="11"/>
      <c r="G265" s="11"/>
    </row>
    <row r="266">
      <c r="A266" s="11"/>
      <c r="B266" s="11"/>
      <c r="C266" s="11"/>
      <c r="D266" s="11"/>
      <c r="E266" s="11"/>
      <c r="F266" s="11"/>
      <c r="G266" s="11"/>
    </row>
    <row r="267">
      <c r="A267" s="11"/>
      <c r="B267" s="11"/>
      <c r="C267" s="11"/>
      <c r="D267" s="11"/>
      <c r="E267" s="11"/>
      <c r="F267" s="11"/>
      <c r="G267" s="11"/>
    </row>
    <row r="268">
      <c r="A268" s="11"/>
      <c r="B268" s="11"/>
      <c r="C268" s="11"/>
      <c r="D268" s="11"/>
      <c r="E268" s="11"/>
      <c r="F268" s="11"/>
      <c r="G268" s="11"/>
    </row>
    <row r="269">
      <c r="A269" s="11"/>
      <c r="B269" s="11"/>
      <c r="C269" s="11"/>
      <c r="D269" s="11"/>
      <c r="E269" s="11"/>
      <c r="F269" s="11"/>
      <c r="G269" s="11"/>
    </row>
    <row r="270">
      <c r="A270" s="11"/>
      <c r="B270" s="11"/>
      <c r="C270" s="11"/>
      <c r="D270" s="11"/>
      <c r="E270" s="11"/>
      <c r="F270" s="11"/>
      <c r="G270" s="11"/>
    </row>
    <row r="271">
      <c r="A271" s="11"/>
      <c r="B271" s="11"/>
      <c r="C271" s="11"/>
      <c r="D271" s="11"/>
      <c r="E271" s="11"/>
      <c r="F271" s="11"/>
      <c r="G271" s="11"/>
    </row>
    <row r="272">
      <c r="A272" s="11"/>
      <c r="B272" s="11"/>
      <c r="C272" s="11"/>
      <c r="D272" s="11"/>
      <c r="E272" s="11"/>
      <c r="F272" s="11"/>
      <c r="G272" s="11"/>
    </row>
    <row r="273">
      <c r="A273" s="11"/>
      <c r="B273" s="11"/>
      <c r="C273" s="11"/>
      <c r="D273" s="11"/>
      <c r="E273" s="11"/>
      <c r="F273" s="11"/>
      <c r="G273" s="11"/>
    </row>
    <row r="274">
      <c r="A274" s="11"/>
      <c r="B274" s="11"/>
      <c r="C274" s="11"/>
      <c r="D274" s="11"/>
      <c r="E274" s="11"/>
      <c r="F274" s="11"/>
      <c r="G274" s="11"/>
    </row>
    <row r="275">
      <c r="A275" s="11"/>
      <c r="B275" s="11"/>
      <c r="C275" s="11"/>
      <c r="D275" s="11"/>
      <c r="E275" s="11"/>
      <c r="F275" s="11"/>
      <c r="G275" s="11"/>
    </row>
    <row r="276">
      <c r="A276" s="11"/>
      <c r="B276" s="11"/>
      <c r="C276" s="11"/>
      <c r="D276" s="11"/>
      <c r="E276" s="11"/>
      <c r="F276" s="11"/>
      <c r="G276" s="11"/>
    </row>
    <row r="277">
      <c r="A277" s="11"/>
      <c r="B277" s="11"/>
      <c r="C277" s="11"/>
      <c r="D277" s="11"/>
      <c r="E277" s="11"/>
      <c r="F277" s="11"/>
      <c r="G277" s="11"/>
    </row>
    <row r="278">
      <c r="A278" s="11"/>
      <c r="B278" s="11"/>
      <c r="C278" s="11"/>
      <c r="D278" s="11"/>
      <c r="E278" s="11"/>
      <c r="F278" s="11"/>
      <c r="G278" s="11"/>
    </row>
    <row r="279">
      <c r="A279" s="11"/>
      <c r="B279" s="11"/>
      <c r="C279" s="11"/>
      <c r="D279" s="11"/>
      <c r="E279" s="11"/>
      <c r="F279" s="11"/>
      <c r="G279" s="11"/>
    </row>
    <row r="280">
      <c r="A280" s="11"/>
      <c r="B280" s="11"/>
      <c r="C280" s="11"/>
      <c r="D280" s="11"/>
      <c r="E280" s="11"/>
      <c r="F280" s="11"/>
      <c r="G280" s="11"/>
    </row>
    <row r="281">
      <c r="A281" s="11"/>
      <c r="B281" s="11"/>
      <c r="C281" s="11"/>
      <c r="D281" s="11"/>
      <c r="E281" s="11"/>
      <c r="F281" s="11"/>
      <c r="G281" s="11"/>
    </row>
    <row r="282">
      <c r="A282" s="11"/>
      <c r="B282" s="11"/>
      <c r="C282" s="11"/>
      <c r="D282" s="11"/>
      <c r="E282" s="11"/>
      <c r="F282" s="11"/>
      <c r="G282" s="11"/>
    </row>
    <row r="283">
      <c r="A283" s="11"/>
      <c r="B283" s="11"/>
      <c r="C283" s="11"/>
      <c r="D283" s="11"/>
      <c r="E283" s="11"/>
      <c r="F283" s="11"/>
      <c r="G283" s="11"/>
    </row>
    <row r="284">
      <c r="A284" s="11"/>
      <c r="B284" s="11"/>
      <c r="C284" s="11"/>
      <c r="D284" s="11"/>
      <c r="E284" s="11"/>
      <c r="F284" s="11"/>
      <c r="G284" s="11"/>
    </row>
    <row r="285">
      <c r="A285" s="11"/>
      <c r="B285" s="11"/>
      <c r="C285" s="11"/>
      <c r="D285" s="11"/>
      <c r="E285" s="11"/>
      <c r="F285" s="11"/>
      <c r="G285" s="11"/>
    </row>
    <row r="286">
      <c r="A286" s="11"/>
      <c r="B286" s="11"/>
      <c r="C286" s="11"/>
      <c r="D286" s="11"/>
      <c r="E286" s="11"/>
      <c r="F286" s="11"/>
      <c r="G286" s="11"/>
    </row>
    <row r="287">
      <c r="A287" s="11"/>
      <c r="B287" s="11"/>
      <c r="C287" s="11"/>
      <c r="D287" s="11"/>
      <c r="E287" s="11"/>
      <c r="F287" s="11"/>
      <c r="G287" s="11"/>
    </row>
    <row r="288">
      <c r="A288" s="11"/>
      <c r="B288" s="11"/>
      <c r="C288" s="11"/>
      <c r="D288" s="11"/>
      <c r="E288" s="11"/>
      <c r="F288" s="11"/>
      <c r="G288" s="11"/>
    </row>
    <row r="289">
      <c r="A289" s="11"/>
      <c r="B289" s="11"/>
      <c r="C289" s="11"/>
      <c r="D289" s="11"/>
      <c r="E289" s="11"/>
      <c r="F289" s="11"/>
      <c r="G289" s="11"/>
    </row>
    <row r="290">
      <c r="A290" s="11"/>
      <c r="B290" s="11"/>
      <c r="C290" s="11"/>
      <c r="D290" s="11"/>
      <c r="E290" s="11"/>
      <c r="F290" s="11"/>
      <c r="G290" s="11"/>
    </row>
    <row r="291">
      <c r="A291" s="11"/>
      <c r="B291" s="11"/>
      <c r="C291" s="11"/>
      <c r="D291" s="11"/>
      <c r="E291" s="11"/>
      <c r="F291" s="11"/>
      <c r="G291" s="11"/>
    </row>
    <row r="292">
      <c r="A292" s="11"/>
      <c r="B292" s="11"/>
      <c r="C292" s="11"/>
      <c r="D292" s="11"/>
      <c r="E292" s="11"/>
      <c r="F292" s="11"/>
      <c r="G292" s="11"/>
    </row>
    <row r="293">
      <c r="A293" s="11"/>
      <c r="B293" s="11"/>
      <c r="C293" s="11"/>
      <c r="D293" s="11"/>
      <c r="E293" s="11"/>
      <c r="F293" s="11"/>
      <c r="G293" s="11"/>
    </row>
    <row r="294">
      <c r="A294" s="11"/>
      <c r="B294" s="11"/>
      <c r="C294" s="11"/>
      <c r="D294" s="11"/>
      <c r="E294" s="11"/>
      <c r="F294" s="11"/>
      <c r="G294" s="11"/>
    </row>
    <row r="295">
      <c r="A295" s="11"/>
      <c r="B295" s="11"/>
      <c r="C295" s="11"/>
      <c r="D295" s="11"/>
      <c r="E295" s="11"/>
      <c r="F295" s="11"/>
      <c r="G295" s="11"/>
    </row>
    <row r="296">
      <c r="A296" s="11"/>
      <c r="B296" s="11"/>
      <c r="C296" s="11"/>
      <c r="D296" s="11"/>
      <c r="E296" s="11"/>
      <c r="F296" s="11"/>
      <c r="G296" s="11"/>
    </row>
    <row r="297">
      <c r="A297" s="11"/>
      <c r="B297" s="11"/>
      <c r="C297" s="11"/>
      <c r="D297" s="11"/>
      <c r="E297" s="11"/>
      <c r="F297" s="11"/>
      <c r="G297" s="11"/>
    </row>
    <row r="298">
      <c r="A298" s="11"/>
      <c r="B298" s="11"/>
      <c r="C298" s="11"/>
      <c r="D298" s="11"/>
      <c r="E298" s="11"/>
      <c r="F298" s="11"/>
      <c r="G298" s="11"/>
    </row>
    <row r="299">
      <c r="A299" s="11"/>
      <c r="B299" s="11"/>
      <c r="C299" s="11"/>
      <c r="D299" s="11"/>
      <c r="E299" s="11"/>
      <c r="F299" s="11"/>
      <c r="G299" s="11"/>
    </row>
    <row r="300">
      <c r="A300" s="11"/>
      <c r="B300" s="11"/>
      <c r="C300" s="11"/>
      <c r="D300" s="11"/>
      <c r="E300" s="11"/>
      <c r="F300" s="11"/>
      <c r="G300" s="11"/>
    </row>
    <row r="301">
      <c r="A301" s="11"/>
      <c r="B301" s="11"/>
      <c r="C301" s="11"/>
      <c r="D301" s="11"/>
      <c r="E301" s="11"/>
      <c r="F301" s="11"/>
      <c r="G301" s="11"/>
    </row>
    <row r="302">
      <c r="A302" s="11"/>
      <c r="B302" s="11"/>
      <c r="C302" s="11"/>
      <c r="D302" s="11"/>
      <c r="E302" s="11"/>
      <c r="F302" s="11"/>
      <c r="G302" s="11"/>
    </row>
    <row r="303">
      <c r="A303" s="11"/>
      <c r="B303" s="11"/>
      <c r="C303" s="11"/>
      <c r="D303" s="11"/>
      <c r="E303" s="11"/>
      <c r="F303" s="11"/>
      <c r="G303" s="11"/>
    </row>
    <row r="304">
      <c r="A304" s="11"/>
      <c r="B304" s="11"/>
      <c r="C304" s="11"/>
      <c r="D304" s="11"/>
      <c r="E304" s="11"/>
      <c r="F304" s="11"/>
      <c r="G304" s="11"/>
    </row>
    <row r="305">
      <c r="A305" s="11"/>
      <c r="B305" s="11"/>
      <c r="C305" s="11"/>
      <c r="D305" s="11"/>
      <c r="E305" s="11"/>
      <c r="F305" s="11"/>
      <c r="G305" s="11"/>
    </row>
    <row r="306">
      <c r="A306" s="11"/>
      <c r="B306" s="11"/>
      <c r="C306" s="11"/>
      <c r="D306" s="11"/>
      <c r="E306" s="11"/>
      <c r="F306" s="11"/>
      <c r="G306" s="11"/>
    </row>
    <row r="307">
      <c r="A307" s="11"/>
      <c r="B307" s="11"/>
      <c r="C307" s="11"/>
      <c r="D307" s="11"/>
      <c r="E307" s="11"/>
      <c r="F307" s="11"/>
      <c r="G307" s="11"/>
    </row>
    <row r="308">
      <c r="A308" s="11"/>
      <c r="B308" s="11"/>
      <c r="C308" s="11"/>
      <c r="D308" s="11"/>
      <c r="E308" s="11"/>
      <c r="F308" s="11"/>
      <c r="G308" s="11"/>
    </row>
    <row r="309">
      <c r="A309" s="11"/>
      <c r="B309" s="11"/>
      <c r="C309" s="11"/>
      <c r="D309" s="11"/>
      <c r="E309" s="11"/>
      <c r="F309" s="11"/>
      <c r="G309" s="11"/>
    </row>
    <row r="310">
      <c r="A310" s="11"/>
      <c r="B310" s="11"/>
      <c r="C310" s="11"/>
      <c r="D310" s="11"/>
      <c r="E310" s="11"/>
      <c r="F310" s="11"/>
      <c r="G310" s="11"/>
    </row>
    <row r="311">
      <c r="A311" s="11"/>
      <c r="B311" s="11"/>
      <c r="C311" s="11"/>
      <c r="D311" s="11"/>
      <c r="E311" s="11"/>
      <c r="F311" s="11"/>
      <c r="G311" s="11"/>
    </row>
    <row r="312">
      <c r="A312" s="11"/>
      <c r="B312" s="11"/>
      <c r="C312" s="11"/>
      <c r="D312" s="11"/>
      <c r="E312" s="11"/>
      <c r="F312" s="11"/>
      <c r="G312" s="11"/>
    </row>
    <row r="313">
      <c r="A313" s="11"/>
      <c r="B313" s="11"/>
      <c r="C313" s="11"/>
      <c r="D313" s="11"/>
      <c r="E313" s="11"/>
      <c r="F313" s="11"/>
      <c r="G313" s="11"/>
    </row>
    <row r="314">
      <c r="A314" s="11"/>
      <c r="B314" s="11"/>
      <c r="C314" s="11"/>
      <c r="D314" s="11"/>
      <c r="E314" s="11"/>
      <c r="F314" s="11"/>
      <c r="G314" s="11"/>
    </row>
    <row r="315">
      <c r="A315" s="11"/>
      <c r="B315" s="11"/>
      <c r="C315" s="11"/>
      <c r="D315" s="11"/>
      <c r="E315" s="11"/>
      <c r="F315" s="11"/>
      <c r="G315" s="11"/>
    </row>
    <row r="316">
      <c r="A316" s="11"/>
      <c r="B316" s="11"/>
      <c r="C316" s="11"/>
      <c r="D316" s="11"/>
      <c r="E316" s="11"/>
      <c r="F316" s="11"/>
      <c r="G316" s="11"/>
    </row>
    <row r="317">
      <c r="A317" s="11"/>
      <c r="B317" s="11"/>
      <c r="C317" s="11"/>
      <c r="D317" s="11"/>
      <c r="E317" s="11"/>
      <c r="F317" s="11"/>
      <c r="G317" s="11"/>
    </row>
    <row r="318">
      <c r="A318" s="11"/>
      <c r="B318" s="11"/>
      <c r="C318" s="11"/>
      <c r="D318" s="11"/>
      <c r="E318" s="11"/>
      <c r="F318" s="11"/>
      <c r="G318" s="11"/>
    </row>
    <row r="319">
      <c r="A319" s="11"/>
      <c r="B319" s="11"/>
      <c r="C319" s="11"/>
      <c r="D319" s="11"/>
      <c r="E319" s="11"/>
      <c r="F319" s="11"/>
      <c r="G319" s="11"/>
    </row>
    <row r="320">
      <c r="A320" s="11"/>
      <c r="B320" s="11"/>
      <c r="C320" s="11"/>
      <c r="D320" s="11"/>
      <c r="E320" s="11"/>
      <c r="F320" s="11"/>
      <c r="G320" s="11"/>
    </row>
    <row r="321">
      <c r="A321" s="11"/>
      <c r="B321" s="11"/>
      <c r="C321" s="11"/>
      <c r="D321" s="11"/>
      <c r="E321" s="11"/>
      <c r="F321" s="11"/>
      <c r="G321" s="11"/>
    </row>
    <row r="322">
      <c r="A322" s="11"/>
      <c r="B322" s="11"/>
      <c r="C322" s="11"/>
      <c r="D322" s="11"/>
      <c r="E322" s="11"/>
      <c r="F322" s="11"/>
      <c r="G322" s="11"/>
    </row>
    <row r="323">
      <c r="A323" s="11"/>
      <c r="B323" s="11"/>
      <c r="C323" s="11"/>
      <c r="D323" s="11"/>
      <c r="E323" s="11"/>
      <c r="F323" s="11"/>
      <c r="G323" s="11"/>
    </row>
    <row r="324">
      <c r="A324" s="11"/>
      <c r="B324" s="11"/>
      <c r="C324" s="11"/>
      <c r="D324" s="11"/>
      <c r="E324" s="11"/>
      <c r="F324" s="11"/>
      <c r="G324" s="11"/>
    </row>
    <row r="325">
      <c r="A325" s="11"/>
      <c r="B325" s="11"/>
      <c r="C325" s="11"/>
      <c r="D325" s="11"/>
      <c r="E325" s="11"/>
      <c r="F325" s="11"/>
      <c r="G325" s="11"/>
    </row>
    <row r="326">
      <c r="A326" s="11"/>
      <c r="B326" s="11"/>
      <c r="C326" s="11"/>
      <c r="D326" s="11"/>
      <c r="E326" s="11"/>
      <c r="F326" s="11"/>
      <c r="G326" s="11"/>
    </row>
    <row r="327">
      <c r="A327" s="11"/>
      <c r="B327" s="11"/>
      <c r="C327" s="11"/>
      <c r="D327" s="11"/>
      <c r="E327" s="11"/>
      <c r="F327" s="11"/>
      <c r="G327" s="11"/>
    </row>
    <row r="328">
      <c r="A328" s="11"/>
      <c r="B328" s="11"/>
      <c r="C328" s="11"/>
      <c r="D328" s="11"/>
      <c r="E328" s="11"/>
      <c r="F328" s="11"/>
      <c r="G328" s="11"/>
    </row>
    <row r="329">
      <c r="A329" s="11"/>
      <c r="B329" s="11"/>
      <c r="C329" s="11"/>
      <c r="D329" s="11"/>
      <c r="E329" s="11"/>
      <c r="F329" s="11"/>
      <c r="G329" s="11"/>
    </row>
    <row r="330">
      <c r="A330" s="11"/>
      <c r="B330" s="11"/>
      <c r="C330" s="11"/>
      <c r="D330" s="11"/>
      <c r="E330" s="11"/>
      <c r="F330" s="11"/>
      <c r="G330" s="11"/>
    </row>
    <row r="331">
      <c r="A331" s="11"/>
      <c r="B331" s="11"/>
      <c r="C331" s="11"/>
      <c r="D331" s="11"/>
      <c r="E331" s="11"/>
      <c r="F331" s="11"/>
      <c r="G331" s="11"/>
    </row>
    <row r="332">
      <c r="A332" s="11"/>
      <c r="B332" s="11"/>
      <c r="C332" s="11"/>
      <c r="D332" s="11"/>
      <c r="E332" s="11"/>
      <c r="F332" s="11"/>
      <c r="G332" s="11"/>
    </row>
    <row r="333">
      <c r="A333" s="11"/>
      <c r="B333" s="11"/>
      <c r="C333" s="11"/>
      <c r="D333" s="11"/>
      <c r="E333" s="11"/>
      <c r="F333" s="11"/>
      <c r="G333" s="11"/>
    </row>
    <row r="334">
      <c r="A334" s="11"/>
      <c r="B334" s="11"/>
      <c r="C334" s="11"/>
      <c r="D334" s="11"/>
      <c r="E334" s="11"/>
      <c r="F334" s="11"/>
      <c r="G334" s="11"/>
    </row>
    <row r="335">
      <c r="A335" s="11"/>
      <c r="B335" s="11"/>
      <c r="C335" s="11"/>
      <c r="D335" s="11"/>
      <c r="E335" s="11"/>
      <c r="F335" s="11"/>
      <c r="G335" s="11"/>
    </row>
    <row r="336">
      <c r="A336" s="11"/>
      <c r="B336" s="11"/>
      <c r="C336" s="11"/>
      <c r="D336" s="11"/>
      <c r="E336" s="11"/>
      <c r="F336" s="11"/>
      <c r="G336" s="11"/>
    </row>
    <row r="337">
      <c r="A337" s="11"/>
      <c r="B337" s="11"/>
      <c r="C337" s="11"/>
      <c r="D337" s="11"/>
      <c r="E337" s="11"/>
      <c r="F337" s="11"/>
      <c r="G337" s="11"/>
    </row>
    <row r="338">
      <c r="A338" s="11"/>
      <c r="B338" s="11"/>
      <c r="C338" s="11"/>
      <c r="D338" s="11"/>
      <c r="E338" s="11"/>
      <c r="F338" s="11"/>
      <c r="G338" s="11"/>
    </row>
    <row r="339">
      <c r="A339" s="11"/>
      <c r="B339" s="11"/>
      <c r="C339" s="11"/>
      <c r="D339" s="11"/>
      <c r="E339" s="11"/>
      <c r="F339" s="11"/>
      <c r="G339" s="11"/>
    </row>
    <row r="340">
      <c r="A340" s="11"/>
      <c r="B340" s="11"/>
      <c r="C340" s="11"/>
      <c r="D340" s="11"/>
      <c r="E340" s="11"/>
      <c r="F340" s="11"/>
      <c r="G340" s="11"/>
    </row>
    <row r="341">
      <c r="A341" s="11"/>
      <c r="B341" s="11"/>
      <c r="C341" s="11"/>
      <c r="D341" s="11"/>
      <c r="E341" s="11"/>
      <c r="F341" s="11"/>
      <c r="G341" s="11"/>
    </row>
    <row r="342">
      <c r="A342" s="11"/>
      <c r="B342" s="11"/>
      <c r="C342" s="11"/>
      <c r="D342" s="11"/>
      <c r="E342" s="11"/>
      <c r="F342" s="11"/>
      <c r="G342" s="11"/>
    </row>
    <row r="343">
      <c r="A343" s="11"/>
      <c r="B343" s="11"/>
      <c r="C343" s="11"/>
      <c r="D343" s="11"/>
      <c r="E343" s="11"/>
      <c r="F343" s="11"/>
      <c r="G343" s="11"/>
    </row>
    <row r="344">
      <c r="A344" s="11"/>
      <c r="B344" s="11"/>
      <c r="C344" s="11"/>
      <c r="D344" s="11"/>
      <c r="E344" s="11"/>
      <c r="F344" s="11"/>
      <c r="G344" s="11"/>
    </row>
    <row r="345">
      <c r="A345" s="11"/>
      <c r="B345" s="11"/>
      <c r="C345" s="11"/>
      <c r="D345" s="11"/>
      <c r="E345" s="11"/>
      <c r="F345" s="11"/>
      <c r="G345" s="11"/>
    </row>
    <row r="346">
      <c r="A346" s="11"/>
      <c r="B346" s="11"/>
      <c r="C346" s="11"/>
      <c r="D346" s="11"/>
      <c r="E346" s="11"/>
      <c r="F346" s="11"/>
      <c r="G346" s="11"/>
    </row>
    <row r="347">
      <c r="A347" s="11"/>
      <c r="B347" s="11"/>
      <c r="C347" s="11"/>
      <c r="D347" s="11"/>
      <c r="E347" s="11"/>
      <c r="F347" s="11"/>
      <c r="G347" s="11"/>
    </row>
    <row r="348">
      <c r="A348" s="11"/>
      <c r="B348" s="11"/>
      <c r="C348" s="11"/>
      <c r="D348" s="11"/>
      <c r="E348" s="11"/>
      <c r="F348" s="11"/>
      <c r="G348" s="11"/>
    </row>
    <row r="349">
      <c r="A349" s="11"/>
      <c r="B349" s="11"/>
      <c r="C349" s="11"/>
      <c r="D349" s="11"/>
      <c r="E349" s="11"/>
      <c r="F349" s="11"/>
      <c r="G349" s="11"/>
    </row>
    <row r="350">
      <c r="A350" s="11"/>
      <c r="B350" s="11"/>
      <c r="C350" s="11"/>
      <c r="D350" s="11"/>
      <c r="E350" s="11"/>
      <c r="F350" s="11"/>
      <c r="G350" s="11"/>
    </row>
    <row r="351">
      <c r="A351" s="11"/>
      <c r="B351" s="11"/>
      <c r="C351" s="11"/>
      <c r="D351" s="11"/>
      <c r="E351" s="11"/>
      <c r="F351" s="11"/>
      <c r="G351" s="11"/>
    </row>
    <row r="352">
      <c r="A352" s="11"/>
      <c r="B352" s="11"/>
      <c r="C352" s="11"/>
      <c r="D352" s="11"/>
      <c r="E352" s="11"/>
      <c r="F352" s="11"/>
      <c r="G352" s="11"/>
    </row>
    <row r="353">
      <c r="A353" s="11"/>
      <c r="B353" s="11"/>
      <c r="C353" s="11"/>
      <c r="D353" s="11"/>
      <c r="E353" s="11"/>
      <c r="F353" s="11"/>
      <c r="G353" s="11"/>
    </row>
    <row r="354">
      <c r="A354" s="11"/>
      <c r="B354" s="11"/>
      <c r="C354" s="11"/>
      <c r="D354" s="11"/>
      <c r="E354" s="11"/>
      <c r="F354" s="11"/>
      <c r="G354" s="11"/>
    </row>
    <row r="355">
      <c r="A355" s="11"/>
      <c r="B355" s="11"/>
      <c r="C355" s="11"/>
      <c r="D355" s="11"/>
      <c r="E355" s="11"/>
      <c r="F355" s="11"/>
      <c r="G355" s="11"/>
    </row>
    <row r="356">
      <c r="A356" s="11"/>
      <c r="B356" s="11"/>
      <c r="C356" s="11"/>
      <c r="D356" s="11"/>
      <c r="E356" s="11"/>
      <c r="F356" s="11"/>
      <c r="G356" s="11"/>
    </row>
    <row r="357">
      <c r="A357" s="11"/>
      <c r="B357" s="11"/>
      <c r="C357" s="11"/>
      <c r="D357" s="11"/>
      <c r="E357" s="11"/>
      <c r="F357" s="11"/>
      <c r="G357" s="11"/>
    </row>
    <row r="358">
      <c r="A358" s="11"/>
      <c r="B358" s="11"/>
      <c r="C358" s="11"/>
      <c r="D358" s="11"/>
      <c r="E358" s="11"/>
      <c r="F358" s="11"/>
      <c r="G358" s="11"/>
    </row>
    <row r="359">
      <c r="A359" s="11"/>
      <c r="B359" s="11"/>
      <c r="C359" s="11"/>
      <c r="D359" s="11"/>
      <c r="E359" s="11"/>
      <c r="F359" s="11"/>
      <c r="G359" s="11"/>
    </row>
    <row r="360">
      <c r="A360" s="11"/>
      <c r="B360" s="11"/>
      <c r="C360" s="11"/>
      <c r="D360" s="11"/>
      <c r="E360" s="11"/>
      <c r="F360" s="11"/>
      <c r="G360" s="11"/>
    </row>
    <row r="361">
      <c r="A361" s="11"/>
      <c r="B361" s="11"/>
      <c r="C361" s="11"/>
      <c r="D361" s="11"/>
      <c r="E361" s="11"/>
      <c r="F361" s="11"/>
      <c r="G361" s="11"/>
    </row>
    <row r="362">
      <c r="A362" s="11"/>
      <c r="B362" s="11"/>
      <c r="C362" s="11"/>
      <c r="D362" s="11"/>
      <c r="E362" s="11"/>
      <c r="F362" s="11"/>
      <c r="G362" s="11"/>
    </row>
    <row r="363">
      <c r="A363" s="11"/>
      <c r="B363" s="11"/>
      <c r="C363" s="11"/>
      <c r="D363" s="11"/>
      <c r="E363" s="11"/>
      <c r="F363" s="11"/>
      <c r="G363" s="11"/>
    </row>
    <row r="364">
      <c r="A364" s="11"/>
      <c r="B364" s="11"/>
      <c r="C364" s="11"/>
      <c r="D364" s="11"/>
      <c r="E364" s="11"/>
      <c r="F364" s="11"/>
      <c r="G364" s="11"/>
    </row>
    <row r="365">
      <c r="A365" s="11"/>
      <c r="B365" s="11"/>
      <c r="C365" s="11"/>
      <c r="D365" s="11"/>
      <c r="E365" s="11"/>
      <c r="F365" s="11"/>
      <c r="G365" s="11"/>
    </row>
    <row r="366">
      <c r="A366" s="11"/>
      <c r="B366" s="11"/>
      <c r="C366" s="11"/>
      <c r="D366" s="11"/>
      <c r="E366" s="11"/>
      <c r="F366" s="11"/>
      <c r="G366" s="11"/>
    </row>
    <row r="367">
      <c r="A367" s="11"/>
      <c r="B367" s="11"/>
      <c r="C367" s="11"/>
      <c r="D367" s="11"/>
      <c r="E367" s="11"/>
      <c r="F367" s="11"/>
      <c r="G367" s="11"/>
    </row>
    <row r="368">
      <c r="A368" s="11"/>
      <c r="B368" s="11"/>
      <c r="C368" s="11"/>
      <c r="D368" s="11"/>
      <c r="E368" s="11"/>
      <c r="F368" s="11"/>
      <c r="G368" s="11"/>
    </row>
    <row r="369">
      <c r="A369" s="11"/>
      <c r="B369" s="11"/>
      <c r="C369" s="11"/>
      <c r="D369" s="11"/>
      <c r="E369" s="11"/>
      <c r="F369" s="11"/>
      <c r="G369" s="11"/>
    </row>
    <row r="370">
      <c r="A370" s="11"/>
      <c r="B370" s="11"/>
      <c r="C370" s="11"/>
      <c r="D370" s="11"/>
      <c r="E370" s="11"/>
      <c r="F370" s="11"/>
      <c r="G370" s="11"/>
    </row>
    <row r="371">
      <c r="A371" s="11"/>
      <c r="B371" s="11"/>
      <c r="C371" s="11"/>
      <c r="D371" s="11"/>
      <c r="E371" s="11"/>
      <c r="F371" s="11"/>
      <c r="G371" s="11"/>
    </row>
    <row r="372">
      <c r="A372" s="11"/>
      <c r="B372" s="11"/>
      <c r="C372" s="11"/>
      <c r="D372" s="11"/>
      <c r="E372" s="11"/>
      <c r="F372" s="11"/>
      <c r="G372" s="11"/>
    </row>
    <row r="373">
      <c r="A373" s="11"/>
      <c r="B373" s="11"/>
      <c r="C373" s="11"/>
      <c r="D373" s="11"/>
      <c r="E373" s="11"/>
      <c r="F373" s="11"/>
      <c r="G373" s="11"/>
    </row>
    <row r="374">
      <c r="A374" s="11"/>
      <c r="B374" s="11"/>
      <c r="C374" s="11"/>
      <c r="D374" s="11"/>
      <c r="E374" s="11"/>
      <c r="F374" s="11"/>
      <c r="G374" s="11"/>
    </row>
    <row r="375">
      <c r="A375" s="11"/>
      <c r="B375" s="11"/>
      <c r="C375" s="11"/>
      <c r="D375" s="11"/>
      <c r="E375" s="11"/>
      <c r="F375" s="11"/>
      <c r="G375" s="11"/>
    </row>
    <row r="376">
      <c r="A376" s="11"/>
      <c r="B376" s="11"/>
      <c r="C376" s="11"/>
      <c r="D376" s="11"/>
      <c r="E376" s="11"/>
      <c r="F376" s="11"/>
      <c r="G376" s="11"/>
    </row>
    <row r="377">
      <c r="A377" s="11"/>
      <c r="B377" s="11"/>
      <c r="C377" s="11"/>
      <c r="D377" s="11"/>
      <c r="E377" s="11"/>
      <c r="F377" s="11"/>
      <c r="G377" s="11"/>
    </row>
    <row r="378">
      <c r="A378" s="11"/>
      <c r="B378" s="11"/>
      <c r="C378" s="11"/>
      <c r="D378" s="11"/>
      <c r="E378" s="11"/>
      <c r="F378" s="11"/>
      <c r="G378" s="11"/>
    </row>
    <row r="379">
      <c r="A379" s="11"/>
      <c r="B379" s="11"/>
      <c r="C379" s="11"/>
      <c r="D379" s="11"/>
      <c r="E379" s="11"/>
      <c r="F379" s="11"/>
      <c r="G379" s="11"/>
    </row>
    <row r="380">
      <c r="A380" s="11"/>
      <c r="B380" s="11"/>
      <c r="C380" s="11"/>
      <c r="D380" s="11"/>
      <c r="E380" s="11"/>
      <c r="F380" s="11"/>
      <c r="G380" s="11"/>
    </row>
    <row r="381">
      <c r="A381" s="11"/>
      <c r="B381" s="11"/>
      <c r="C381" s="11"/>
      <c r="D381" s="11"/>
      <c r="E381" s="11"/>
      <c r="F381" s="11"/>
      <c r="G381" s="11"/>
    </row>
    <row r="382">
      <c r="A382" s="11"/>
      <c r="B382" s="11"/>
      <c r="C382" s="11"/>
      <c r="D382" s="11"/>
      <c r="E382" s="11"/>
      <c r="F382" s="11"/>
      <c r="G382" s="11"/>
    </row>
    <row r="383">
      <c r="A383" s="11"/>
      <c r="B383" s="11"/>
      <c r="C383" s="11"/>
      <c r="D383" s="11"/>
      <c r="E383" s="11"/>
      <c r="F383" s="11"/>
      <c r="G383" s="11"/>
    </row>
    <row r="384">
      <c r="A384" s="11"/>
      <c r="B384" s="11"/>
      <c r="C384" s="11"/>
      <c r="D384" s="11"/>
      <c r="E384" s="11"/>
      <c r="F384" s="11"/>
      <c r="G384" s="11"/>
    </row>
    <row r="385">
      <c r="A385" s="11"/>
      <c r="B385" s="11"/>
      <c r="C385" s="11"/>
      <c r="D385" s="11"/>
      <c r="E385" s="11"/>
      <c r="F385" s="11"/>
      <c r="G385" s="11"/>
    </row>
    <row r="386">
      <c r="A386" s="11"/>
      <c r="B386" s="11"/>
      <c r="C386" s="11"/>
      <c r="D386" s="11"/>
      <c r="E386" s="11"/>
      <c r="F386" s="11"/>
      <c r="G386" s="11"/>
    </row>
    <row r="387">
      <c r="A387" s="11"/>
      <c r="B387" s="11"/>
      <c r="C387" s="11"/>
      <c r="D387" s="11"/>
      <c r="E387" s="11"/>
      <c r="F387" s="11"/>
      <c r="G387" s="11"/>
    </row>
    <row r="388">
      <c r="A388" s="11"/>
      <c r="B388" s="11"/>
      <c r="C388" s="11"/>
      <c r="D388" s="11"/>
      <c r="E388" s="11"/>
      <c r="F388" s="11"/>
      <c r="G388" s="11"/>
    </row>
    <row r="389">
      <c r="A389" s="11"/>
      <c r="B389" s="11"/>
      <c r="C389" s="11"/>
      <c r="D389" s="11"/>
      <c r="E389" s="11"/>
      <c r="F389" s="11"/>
      <c r="G389" s="11"/>
    </row>
    <row r="390">
      <c r="A390" s="11"/>
      <c r="B390" s="11"/>
      <c r="C390" s="11"/>
      <c r="D390" s="11"/>
      <c r="E390" s="11"/>
      <c r="F390" s="11"/>
      <c r="G390" s="11"/>
    </row>
    <row r="391">
      <c r="A391" s="11"/>
      <c r="B391" s="11"/>
      <c r="C391" s="11"/>
      <c r="D391" s="11"/>
      <c r="E391" s="11"/>
      <c r="F391" s="11"/>
      <c r="G391" s="11"/>
    </row>
    <row r="392">
      <c r="A392" s="11"/>
      <c r="B392" s="11"/>
      <c r="C392" s="11"/>
      <c r="D392" s="11"/>
      <c r="E392" s="11"/>
      <c r="F392" s="11"/>
      <c r="G392" s="11"/>
    </row>
    <row r="393">
      <c r="A393" s="11"/>
      <c r="B393" s="11"/>
      <c r="C393" s="11"/>
      <c r="D393" s="11"/>
      <c r="E393" s="11"/>
      <c r="F393" s="11"/>
      <c r="G393" s="11"/>
    </row>
    <row r="394">
      <c r="A394" s="11"/>
      <c r="B394" s="11"/>
      <c r="C394" s="11"/>
      <c r="D394" s="11"/>
      <c r="E394" s="11"/>
      <c r="F394" s="11"/>
      <c r="G394" s="11"/>
    </row>
    <row r="395">
      <c r="A395" s="11"/>
      <c r="B395" s="11"/>
      <c r="C395" s="11"/>
      <c r="D395" s="11"/>
      <c r="E395" s="11"/>
      <c r="F395" s="11"/>
      <c r="G395" s="11"/>
    </row>
    <row r="396">
      <c r="A396" s="11"/>
      <c r="B396" s="11"/>
      <c r="C396" s="11"/>
      <c r="D396" s="11"/>
      <c r="E396" s="11"/>
      <c r="F396" s="11"/>
      <c r="G396" s="11"/>
    </row>
    <row r="397">
      <c r="A397" s="11"/>
      <c r="B397" s="11"/>
      <c r="C397" s="11"/>
      <c r="D397" s="11"/>
      <c r="E397" s="11"/>
      <c r="F397" s="11"/>
      <c r="G397" s="11"/>
    </row>
    <row r="398">
      <c r="A398" s="11"/>
      <c r="B398" s="11"/>
      <c r="C398" s="11"/>
      <c r="D398" s="11"/>
      <c r="E398" s="11"/>
      <c r="F398" s="11"/>
      <c r="G398" s="11"/>
    </row>
    <row r="399">
      <c r="A399" s="11"/>
      <c r="B399" s="11"/>
      <c r="C399" s="11"/>
      <c r="D399" s="11"/>
      <c r="E399" s="11"/>
      <c r="F399" s="11"/>
      <c r="G399" s="11"/>
    </row>
    <row r="400">
      <c r="A400" s="11"/>
      <c r="B400" s="11"/>
      <c r="C400" s="11"/>
      <c r="D400" s="11"/>
      <c r="E400" s="11"/>
      <c r="F400" s="11"/>
      <c r="G400" s="11"/>
    </row>
    <row r="401">
      <c r="A401" s="11"/>
      <c r="B401" s="11"/>
      <c r="C401" s="11"/>
      <c r="D401" s="11"/>
      <c r="E401" s="11"/>
      <c r="F401" s="11"/>
      <c r="G401" s="11"/>
    </row>
    <row r="402">
      <c r="A402" s="11"/>
      <c r="B402" s="11"/>
      <c r="C402" s="11"/>
      <c r="D402" s="11"/>
      <c r="E402" s="11"/>
      <c r="F402" s="11"/>
      <c r="G402" s="11"/>
    </row>
    <row r="403">
      <c r="A403" s="11"/>
      <c r="B403" s="11"/>
      <c r="C403" s="11"/>
      <c r="D403" s="11"/>
      <c r="E403" s="11"/>
      <c r="F403" s="11"/>
      <c r="G403" s="11"/>
    </row>
    <row r="404">
      <c r="A404" s="11"/>
      <c r="B404" s="11"/>
      <c r="C404" s="11"/>
      <c r="D404" s="11"/>
      <c r="E404" s="11"/>
      <c r="F404" s="11"/>
      <c r="G404" s="11"/>
    </row>
    <row r="405">
      <c r="A405" s="11"/>
      <c r="B405" s="11"/>
      <c r="C405" s="11"/>
      <c r="D405" s="11"/>
      <c r="E405" s="11"/>
      <c r="F405" s="11"/>
      <c r="G405" s="11"/>
    </row>
    <row r="406">
      <c r="A406" s="11"/>
      <c r="B406" s="11"/>
      <c r="C406" s="11"/>
      <c r="D406" s="11"/>
      <c r="E406" s="11"/>
      <c r="F406" s="11"/>
      <c r="G406" s="11"/>
    </row>
    <row r="407">
      <c r="A407" s="11"/>
      <c r="B407" s="11"/>
      <c r="C407" s="11"/>
      <c r="D407" s="11"/>
      <c r="E407" s="11"/>
      <c r="F407" s="11"/>
      <c r="G407" s="11"/>
    </row>
    <row r="408">
      <c r="A408" s="11"/>
      <c r="B408" s="11"/>
      <c r="C408" s="11"/>
      <c r="D408" s="11"/>
      <c r="E408" s="11"/>
      <c r="F408" s="11"/>
      <c r="G408" s="11"/>
    </row>
    <row r="409">
      <c r="A409" s="11"/>
      <c r="B409" s="11"/>
      <c r="C409" s="11"/>
      <c r="D409" s="11"/>
      <c r="E409" s="11"/>
      <c r="F409" s="11"/>
      <c r="G409" s="11"/>
    </row>
    <row r="410">
      <c r="A410" s="11"/>
      <c r="B410" s="11"/>
      <c r="C410" s="11"/>
      <c r="D410" s="11"/>
      <c r="E410" s="11"/>
      <c r="F410" s="11"/>
      <c r="G410" s="11"/>
    </row>
    <row r="411">
      <c r="A411" s="11"/>
      <c r="B411" s="11"/>
      <c r="C411" s="11"/>
      <c r="D411" s="11"/>
      <c r="E411" s="11"/>
      <c r="F411" s="11"/>
      <c r="G411" s="11"/>
    </row>
    <row r="412">
      <c r="A412" s="11"/>
      <c r="B412" s="11"/>
      <c r="C412" s="11"/>
      <c r="D412" s="11"/>
      <c r="E412" s="11"/>
      <c r="F412" s="11"/>
      <c r="G412" s="11"/>
    </row>
    <row r="413">
      <c r="A413" s="11"/>
      <c r="B413" s="11"/>
      <c r="C413" s="11"/>
      <c r="D413" s="11"/>
      <c r="E413" s="11"/>
      <c r="F413" s="11"/>
      <c r="G413" s="11"/>
    </row>
    <row r="414">
      <c r="A414" s="11"/>
      <c r="B414" s="11"/>
      <c r="C414" s="11"/>
      <c r="D414" s="11"/>
      <c r="E414" s="11"/>
      <c r="F414" s="11"/>
      <c r="G414" s="11"/>
    </row>
    <row r="415">
      <c r="A415" s="11"/>
      <c r="B415" s="11"/>
      <c r="C415" s="11"/>
      <c r="D415" s="11"/>
      <c r="E415" s="11"/>
      <c r="F415" s="11"/>
      <c r="G415" s="11"/>
    </row>
    <row r="416">
      <c r="A416" s="11"/>
      <c r="B416" s="11"/>
      <c r="C416" s="11"/>
      <c r="D416" s="11"/>
      <c r="E416" s="11"/>
      <c r="F416" s="11"/>
      <c r="G416" s="11"/>
    </row>
    <row r="417">
      <c r="A417" s="11"/>
      <c r="B417" s="11"/>
      <c r="C417" s="11"/>
      <c r="D417" s="11"/>
      <c r="E417" s="11"/>
      <c r="F417" s="11"/>
      <c r="G417" s="11"/>
    </row>
    <row r="418">
      <c r="A418" s="11"/>
      <c r="B418" s="11"/>
      <c r="C418" s="11"/>
      <c r="D418" s="11"/>
      <c r="E418" s="11"/>
      <c r="F418" s="11"/>
      <c r="G418" s="11"/>
    </row>
    <row r="419">
      <c r="A419" s="11"/>
      <c r="B419" s="11"/>
      <c r="C419" s="11"/>
      <c r="D419" s="11"/>
      <c r="E419" s="11"/>
      <c r="F419" s="11"/>
      <c r="G419" s="11"/>
    </row>
    <row r="420">
      <c r="A420" s="11"/>
      <c r="B420" s="11"/>
      <c r="C420" s="11"/>
      <c r="D420" s="11"/>
      <c r="E420" s="11"/>
      <c r="F420" s="11"/>
      <c r="G420" s="11"/>
    </row>
    <row r="421">
      <c r="A421" s="11"/>
      <c r="B421" s="11"/>
      <c r="C421" s="11"/>
      <c r="D421" s="11"/>
      <c r="E421" s="11"/>
      <c r="F421" s="11"/>
      <c r="G421" s="11"/>
    </row>
    <row r="422">
      <c r="A422" s="11"/>
      <c r="B422" s="11"/>
      <c r="C422" s="11"/>
      <c r="D422" s="11"/>
      <c r="E422" s="11"/>
      <c r="F422" s="11"/>
      <c r="G422" s="11"/>
    </row>
    <row r="423">
      <c r="A423" s="11"/>
      <c r="B423" s="11"/>
      <c r="C423" s="11"/>
      <c r="D423" s="11"/>
      <c r="E423" s="11"/>
      <c r="F423" s="11"/>
      <c r="G423" s="11"/>
    </row>
    <row r="424">
      <c r="A424" s="11"/>
      <c r="B424" s="11"/>
      <c r="C424" s="11"/>
      <c r="D424" s="11"/>
      <c r="E424" s="11"/>
      <c r="F424" s="11"/>
      <c r="G424" s="11"/>
    </row>
    <row r="425">
      <c r="A425" s="11"/>
      <c r="B425" s="11"/>
      <c r="C425" s="11"/>
      <c r="D425" s="11"/>
      <c r="E425" s="11"/>
      <c r="F425" s="11"/>
      <c r="G425" s="11"/>
    </row>
    <row r="426">
      <c r="A426" s="11"/>
      <c r="B426" s="11"/>
      <c r="C426" s="11"/>
      <c r="D426" s="11"/>
      <c r="E426" s="11"/>
      <c r="F426" s="11"/>
      <c r="G426" s="11"/>
    </row>
    <row r="427">
      <c r="A427" s="11"/>
      <c r="B427" s="11"/>
      <c r="C427" s="11"/>
      <c r="D427" s="11"/>
      <c r="E427" s="11"/>
      <c r="F427" s="11"/>
      <c r="G427" s="11"/>
    </row>
    <row r="428">
      <c r="A428" s="11"/>
      <c r="B428" s="11"/>
      <c r="C428" s="11"/>
      <c r="D428" s="11"/>
      <c r="E428" s="11"/>
      <c r="F428" s="11"/>
      <c r="G428" s="11"/>
    </row>
    <row r="429">
      <c r="A429" s="11"/>
      <c r="B429" s="11"/>
      <c r="C429" s="11"/>
      <c r="D429" s="11"/>
      <c r="E429" s="11"/>
      <c r="F429" s="11"/>
      <c r="G429" s="11"/>
    </row>
    <row r="430">
      <c r="A430" s="11"/>
      <c r="B430" s="11"/>
      <c r="C430" s="11"/>
      <c r="D430" s="11"/>
      <c r="E430" s="11"/>
      <c r="F430" s="11"/>
      <c r="G430" s="11"/>
    </row>
    <row r="431">
      <c r="A431" s="11"/>
      <c r="B431" s="11"/>
      <c r="C431" s="11"/>
      <c r="D431" s="11"/>
      <c r="E431" s="11"/>
      <c r="F431" s="11"/>
      <c r="G431" s="11"/>
    </row>
    <row r="432">
      <c r="A432" s="11"/>
      <c r="B432" s="11"/>
      <c r="C432" s="11"/>
      <c r="D432" s="11"/>
      <c r="E432" s="11"/>
      <c r="F432" s="11"/>
      <c r="G432" s="11"/>
    </row>
    <row r="433">
      <c r="A433" s="11"/>
      <c r="B433" s="11"/>
      <c r="C433" s="11"/>
      <c r="D433" s="11"/>
      <c r="E433" s="11"/>
      <c r="F433" s="11"/>
      <c r="G433" s="11"/>
    </row>
    <row r="434">
      <c r="A434" s="11"/>
      <c r="B434" s="11"/>
      <c r="C434" s="11"/>
      <c r="D434" s="11"/>
      <c r="E434" s="11"/>
      <c r="F434" s="11"/>
      <c r="G434" s="11"/>
    </row>
    <row r="435">
      <c r="A435" s="11"/>
      <c r="B435" s="11"/>
      <c r="C435" s="11"/>
      <c r="D435" s="11"/>
      <c r="E435" s="11"/>
      <c r="F435" s="11"/>
      <c r="G435" s="11"/>
    </row>
    <row r="436">
      <c r="A436" s="11"/>
      <c r="B436" s="11"/>
      <c r="C436" s="11"/>
      <c r="D436" s="11"/>
      <c r="E436" s="11"/>
      <c r="F436" s="11"/>
      <c r="G436" s="11"/>
    </row>
    <row r="437">
      <c r="A437" s="11"/>
      <c r="B437" s="11"/>
      <c r="C437" s="11"/>
      <c r="D437" s="11"/>
      <c r="E437" s="11"/>
      <c r="F437" s="11"/>
      <c r="G437" s="11"/>
    </row>
    <row r="438">
      <c r="A438" s="11"/>
      <c r="B438" s="11"/>
      <c r="C438" s="11"/>
      <c r="D438" s="11"/>
      <c r="E438" s="11"/>
      <c r="F438" s="11"/>
      <c r="G438" s="11"/>
    </row>
    <row r="439">
      <c r="A439" s="11"/>
      <c r="B439" s="11"/>
      <c r="C439" s="11"/>
      <c r="D439" s="11"/>
      <c r="E439" s="11"/>
      <c r="F439" s="11"/>
      <c r="G439" s="11"/>
    </row>
    <row r="440">
      <c r="A440" s="11"/>
      <c r="B440" s="11"/>
      <c r="C440" s="11"/>
      <c r="D440" s="11"/>
      <c r="E440" s="11"/>
      <c r="F440" s="11"/>
      <c r="G440" s="11"/>
    </row>
    <row r="441">
      <c r="A441" s="11"/>
      <c r="B441" s="11"/>
      <c r="C441" s="11"/>
      <c r="D441" s="11"/>
      <c r="E441" s="11"/>
      <c r="F441" s="11"/>
      <c r="G441" s="11"/>
    </row>
    <row r="442">
      <c r="A442" s="11"/>
      <c r="B442" s="11"/>
      <c r="C442" s="11"/>
      <c r="D442" s="11"/>
      <c r="E442" s="11"/>
      <c r="F442" s="11"/>
      <c r="G442" s="11"/>
    </row>
    <row r="443">
      <c r="A443" s="11"/>
      <c r="B443" s="11"/>
      <c r="C443" s="11"/>
      <c r="D443" s="11"/>
      <c r="E443" s="11"/>
      <c r="F443" s="11"/>
      <c r="G443" s="11"/>
    </row>
    <row r="444">
      <c r="A444" s="11"/>
      <c r="B444" s="11"/>
      <c r="C444" s="11"/>
      <c r="D444" s="11"/>
      <c r="E444" s="11"/>
      <c r="F444" s="11"/>
      <c r="G444" s="11"/>
    </row>
    <row r="445">
      <c r="A445" s="11"/>
      <c r="B445" s="11"/>
      <c r="C445" s="11"/>
      <c r="D445" s="11"/>
      <c r="E445" s="11"/>
      <c r="F445" s="11"/>
      <c r="G445" s="11"/>
    </row>
    <row r="446">
      <c r="A446" s="11"/>
      <c r="B446" s="11"/>
      <c r="C446" s="11"/>
      <c r="D446" s="11"/>
      <c r="E446" s="11"/>
      <c r="F446" s="11"/>
      <c r="G446" s="11"/>
    </row>
    <row r="447">
      <c r="A447" s="11"/>
      <c r="B447" s="11"/>
      <c r="C447" s="11"/>
      <c r="D447" s="11"/>
      <c r="E447" s="11"/>
      <c r="F447" s="11"/>
      <c r="G447" s="11"/>
    </row>
    <row r="448">
      <c r="A448" s="11"/>
      <c r="B448" s="11"/>
      <c r="C448" s="11"/>
      <c r="D448" s="11"/>
      <c r="E448" s="11"/>
      <c r="F448" s="11"/>
      <c r="G448" s="11"/>
    </row>
    <row r="449">
      <c r="A449" s="11"/>
      <c r="B449" s="11"/>
      <c r="C449" s="11"/>
      <c r="D449" s="11"/>
      <c r="E449" s="11"/>
      <c r="F449" s="11"/>
      <c r="G449" s="11"/>
    </row>
    <row r="450">
      <c r="A450" s="11"/>
      <c r="B450" s="11"/>
      <c r="C450" s="11"/>
      <c r="D450" s="11"/>
      <c r="E450" s="11"/>
      <c r="F450" s="11"/>
      <c r="G450" s="11"/>
    </row>
    <row r="451">
      <c r="A451" s="11"/>
      <c r="B451" s="11"/>
      <c r="C451" s="11"/>
      <c r="D451" s="11"/>
      <c r="E451" s="11"/>
      <c r="F451" s="11"/>
      <c r="G451" s="11"/>
    </row>
    <row r="452">
      <c r="A452" s="11"/>
      <c r="B452" s="11"/>
      <c r="C452" s="11"/>
      <c r="D452" s="11"/>
      <c r="E452" s="11"/>
      <c r="F452" s="11"/>
      <c r="G452" s="11"/>
    </row>
    <row r="453">
      <c r="A453" s="11"/>
      <c r="B453" s="11"/>
      <c r="C453" s="11"/>
      <c r="D453" s="11"/>
      <c r="E453" s="11"/>
      <c r="F453" s="11"/>
      <c r="G453" s="11"/>
    </row>
    <row r="454">
      <c r="A454" s="11"/>
      <c r="B454" s="11"/>
      <c r="C454" s="11"/>
      <c r="D454" s="11"/>
      <c r="E454" s="11"/>
      <c r="F454" s="11"/>
      <c r="G454" s="11"/>
    </row>
    <row r="455">
      <c r="A455" s="11"/>
      <c r="B455" s="11"/>
      <c r="C455" s="11"/>
      <c r="D455" s="11"/>
      <c r="E455" s="11"/>
      <c r="F455" s="11"/>
      <c r="G455" s="11"/>
    </row>
    <row r="456">
      <c r="A456" s="11"/>
      <c r="B456" s="11"/>
      <c r="C456" s="11"/>
      <c r="D456" s="11"/>
      <c r="E456" s="11"/>
      <c r="F456" s="11"/>
      <c r="G456" s="11"/>
    </row>
    <row r="457">
      <c r="A457" s="11"/>
      <c r="B457" s="11"/>
      <c r="C457" s="11"/>
      <c r="D457" s="11"/>
      <c r="E457" s="11"/>
      <c r="F457" s="11"/>
      <c r="G457" s="11"/>
    </row>
    <row r="458">
      <c r="A458" s="11"/>
      <c r="B458" s="11"/>
      <c r="C458" s="11"/>
      <c r="D458" s="11"/>
      <c r="E458" s="11"/>
      <c r="F458" s="11"/>
      <c r="G458" s="11"/>
    </row>
    <row r="459">
      <c r="A459" s="11"/>
      <c r="B459" s="11"/>
      <c r="C459" s="11"/>
      <c r="D459" s="11"/>
      <c r="E459" s="11"/>
      <c r="F459" s="11"/>
      <c r="G459" s="11"/>
    </row>
    <row r="460">
      <c r="A460" s="11"/>
      <c r="B460" s="11"/>
      <c r="C460" s="11"/>
      <c r="D460" s="11"/>
      <c r="E460" s="11"/>
      <c r="F460" s="11"/>
      <c r="G460" s="11"/>
    </row>
    <row r="461">
      <c r="A461" s="11"/>
      <c r="B461" s="11"/>
      <c r="C461" s="11"/>
      <c r="D461" s="11"/>
      <c r="E461" s="11"/>
      <c r="F461" s="11"/>
      <c r="G461" s="11"/>
    </row>
    <row r="462">
      <c r="A462" s="11"/>
      <c r="B462" s="11"/>
      <c r="C462" s="11"/>
      <c r="D462" s="11"/>
      <c r="E462" s="11"/>
      <c r="F462" s="11"/>
      <c r="G462" s="11"/>
    </row>
    <row r="463">
      <c r="A463" s="11"/>
      <c r="B463" s="11"/>
      <c r="C463" s="11"/>
      <c r="D463" s="11"/>
      <c r="E463" s="11"/>
      <c r="F463" s="11"/>
      <c r="G463" s="11"/>
    </row>
    <row r="464">
      <c r="A464" s="11"/>
      <c r="B464" s="11"/>
      <c r="C464" s="11"/>
      <c r="D464" s="11"/>
      <c r="E464" s="11"/>
      <c r="F464" s="11"/>
      <c r="G464" s="11"/>
    </row>
    <row r="465">
      <c r="A465" s="11"/>
      <c r="B465" s="11"/>
      <c r="C465" s="11"/>
      <c r="D465" s="11"/>
      <c r="E465" s="11"/>
      <c r="F465" s="11"/>
      <c r="G465" s="11"/>
    </row>
    <row r="466">
      <c r="A466" s="11"/>
      <c r="B466" s="11"/>
      <c r="C466" s="11"/>
      <c r="D466" s="11"/>
      <c r="E466" s="11"/>
      <c r="F466" s="11"/>
      <c r="G466" s="11"/>
    </row>
    <row r="467">
      <c r="A467" s="11"/>
      <c r="B467" s="11"/>
      <c r="C467" s="11"/>
      <c r="D467" s="11"/>
      <c r="E467" s="11"/>
      <c r="F467" s="11"/>
      <c r="G467" s="11"/>
    </row>
    <row r="468">
      <c r="A468" s="11"/>
      <c r="B468" s="11"/>
      <c r="C468" s="11"/>
      <c r="D468" s="11"/>
      <c r="E468" s="11"/>
      <c r="F468" s="11"/>
      <c r="G468" s="11"/>
    </row>
    <row r="469">
      <c r="A469" s="11"/>
      <c r="B469" s="11"/>
      <c r="C469" s="11"/>
      <c r="D469" s="11"/>
      <c r="E469" s="11"/>
      <c r="F469" s="11"/>
      <c r="G469" s="11"/>
    </row>
    <row r="470">
      <c r="A470" s="11"/>
      <c r="B470" s="11"/>
      <c r="C470" s="11"/>
      <c r="D470" s="11"/>
      <c r="E470" s="11"/>
      <c r="F470" s="11"/>
      <c r="G470" s="11"/>
    </row>
    <row r="471">
      <c r="A471" s="11"/>
      <c r="B471" s="11"/>
      <c r="C471" s="11"/>
      <c r="D471" s="11"/>
      <c r="E471" s="11"/>
      <c r="F471" s="11"/>
      <c r="G471" s="11"/>
    </row>
    <row r="472">
      <c r="A472" s="11"/>
      <c r="B472" s="11"/>
      <c r="C472" s="11"/>
      <c r="D472" s="11"/>
      <c r="E472" s="11"/>
      <c r="F472" s="11"/>
      <c r="G472" s="11"/>
    </row>
    <row r="473">
      <c r="A473" s="11"/>
      <c r="B473" s="11"/>
      <c r="C473" s="11"/>
      <c r="D473" s="11"/>
      <c r="E473" s="11"/>
      <c r="F473" s="11"/>
      <c r="G473" s="11"/>
    </row>
    <row r="474">
      <c r="A474" s="11"/>
      <c r="B474" s="11"/>
      <c r="C474" s="11"/>
      <c r="D474" s="11"/>
      <c r="E474" s="11"/>
      <c r="F474" s="11"/>
      <c r="G474" s="11"/>
    </row>
    <row r="475">
      <c r="A475" s="11"/>
      <c r="B475" s="11"/>
      <c r="C475" s="11"/>
      <c r="D475" s="11"/>
      <c r="E475" s="11"/>
      <c r="F475" s="11"/>
      <c r="G475" s="11"/>
    </row>
    <row r="476">
      <c r="A476" s="11"/>
      <c r="B476" s="11"/>
      <c r="C476" s="11"/>
      <c r="D476" s="11"/>
      <c r="E476" s="11"/>
      <c r="F476" s="11"/>
      <c r="G476" s="11"/>
    </row>
    <row r="477">
      <c r="A477" s="11"/>
      <c r="B477" s="11"/>
      <c r="C477" s="11"/>
      <c r="D477" s="11"/>
      <c r="E477" s="11"/>
      <c r="F477" s="11"/>
      <c r="G477" s="11"/>
    </row>
    <row r="478">
      <c r="A478" s="11"/>
      <c r="B478" s="11"/>
      <c r="C478" s="11"/>
      <c r="D478" s="11"/>
      <c r="E478" s="11"/>
      <c r="F478" s="11"/>
      <c r="G478" s="11"/>
    </row>
    <row r="479">
      <c r="A479" s="11"/>
      <c r="B479" s="11"/>
      <c r="C479" s="11"/>
      <c r="D479" s="11"/>
      <c r="E479" s="11"/>
      <c r="F479" s="11"/>
      <c r="G479" s="11"/>
    </row>
    <row r="480">
      <c r="A480" s="11"/>
      <c r="B480" s="11"/>
      <c r="C480" s="11"/>
      <c r="D480" s="11"/>
      <c r="E480" s="11"/>
      <c r="F480" s="11"/>
      <c r="G480" s="11"/>
    </row>
    <row r="481">
      <c r="A481" s="11"/>
      <c r="B481" s="11"/>
      <c r="C481" s="11"/>
      <c r="D481" s="11"/>
      <c r="E481" s="11"/>
      <c r="F481" s="11"/>
      <c r="G481" s="11"/>
    </row>
    <row r="482">
      <c r="A482" s="11"/>
      <c r="B482" s="11"/>
      <c r="C482" s="11"/>
      <c r="D482" s="11"/>
      <c r="E482" s="11"/>
      <c r="F482" s="11"/>
      <c r="G482" s="11"/>
    </row>
    <row r="483">
      <c r="A483" s="11"/>
      <c r="B483" s="11"/>
      <c r="C483" s="11"/>
      <c r="D483" s="11"/>
      <c r="E483" s="11"/>
      <c r="F483" s="11"/>
      <c r="G483" s="11"/>
    </row>
    <row r="484">
      <c r="A484" s="11"/>
      <c r="B484" s="11"/>
      <c r="C484" s="11"/>
      <c r="D484" s="11"/>
      <c r="E484" s="11"/>
      <c r="F484" s="11"/>
      <c r="G484" s="11"/>
    </row>
    <row r="485">
      <c r="A485" s="11"/>
      <c r="B485" s="11"/>
      <c r="C485" s="11"/>
      <c r="D485" s="11"/>
      <c r="E485" s="11"/>
      <c r="F485" s="11"/>
      <c r="G485" s="11"/>
    </row>
    <row r="486">
      <c r="A486" s="11"/>
      <c r="B486" s="11"/>
      <c r="C486" s="11"/>
      <c r="D486" s="11"/>
      <c r="E486" s="11"/>
      <c r="F486" s="11"/>
      <c r="G486" s="11"/>
    </row>
    <row r="487">
      <c r="A487" s="11"/>
      <c r="B487" s="11"/>
      <c r="C487" s="11"/>
      <c r="D487" s="11"/>
      <c r="E487" s="11"/>
      <c r="F487" s="11"/>
      <c r="G487" s="11"/>
    </row>
    <row r="488">
      <c r="A488" s="11"/>
      <c r="B488" s="11"/>
      <c r="C488" s="11"/>
      <c r="D488" s="11"/>
      <c r="E488" s="11"/>
      <c r="F488" s="11"/>
      <c r="G488" s="11"/>
    </row>
    <row r="489">
      <c r="A489" s="11"/>
      <c r="B489" s="11"/>
      <c r="C489" s="11"/>
      <c r="D489" s="11"/>
      <c r="E489" s="11"/>
      <c r="F489" s="11"/>
      <c r="G489" s="11"/>
    </row>
    <row r="490">
      <c r="A490" s="11"/>
      <c r="B490" s="11"/>
      <c r="C490" s="11"/>
      <c r="D490" s="11"/>
      <c r="E490" s="11"/>
      <c r="F490" s="11"/>
      <c r="G490" s="11"/>
    </row>
    <row r="491">
      <c r="A491" s="11"/>
      <c r="B491" s="11"/>
      <c r="C491" s="11"/>
      <c r="D491" s="11"/>
      <c r="E491" s="11"/>
      <c r="F491" s="11"/>
      <c r="G491" s="11"/>
    </row>
    <row r="492">
      <c r="A492" s="11"/>
      <c r="B492" s="11"/>
      <c r="C492" s="11"/>
      <c r="D492" s="11"/>
      <c r="E492" s="11"/>
      <c r="F492" s="11"/>
      <c r="G492" s="11"/>
    </row>
    <row r="493">
      <c r="A493" s="11"/>
      <c r="B493" s="11"/>
      <c r="C493" s="11"/>
      <c r="D493" s="11"/>
      <c r="E493" s="11"/>
      <c r="F493" s="11"/>
      <c r="G493" s="11"/>
    </row>
    <row r="494">
      <c r="A494" s="11"/>
      <c r="B494" s="11"/>
      <c r="C494" s="11"/>
      <c r="D494" s="11"/>
      <c r="E494" s="11"/>
      <c r="F494" s="11"/>
      <c r="G494" s="11"/>
    </row>
    <row r="495">
      <c r="A495" s="11"/>
      <c r="B495" s="11"/>
      <c r="C495" s="11"/>
      <c r="D495" s="11"/>
      <c r="E495" s="11"/>
      <c r="F495" s="11"/>
      <c r="G495" s="11"/>
    </row>
    <row r="496">
      <c r="A496" s="11"/>
      <c r="B496" s="11"/>
      <c r="C496" s="11"/>
      <c r="D496" s="11"/>
      <c r="E496" s="11"/>
      <c r="F496" s="11"/>
      <c r="G496" s="11"/>
    </row>
    <row r="497">
      <c r="A497" s="11"/>
      <c r="B497" s="11"/>
      <c r="C497" s="11"/>
      <c r="D497" s="11"/>
      <c r="E497" s="11"/>
      <c r="F497" s="11"/>
      <c r="G497" s="11"/>
    </row>
    <row r="498">
      <c r="A498" s="11"/>
      <c r="B498" s="11"/>
      <c r="C498" s="11"/>
      <c r="D498" s="11"/>
      <c r="E498" s="11"/>
      <c r="F498" s="11"/>
      <c r="G498" s="11"/>
    </row>
    <row r="499">
      <c r="A499" s="11"/>
      <c r="B499" s="11"/>
      <c r="C499" s="11"/>
      <c r="D499" s="11"/>
      <c r="E499" s="11"/>
      <c r="F499" s="11"/>
      <c r="G499" s="11"/>
    </row>
    <row r="500">
      <c r="A500" s="11"/>
      <c r="B500" s="11"/>
      <c r="C500" s="11"/>
      <c r="D500" s="11"/>
      <c r="E500" s="11"/>
      <c r="F500" s="11"/>
      <c r="G500" s="11"/>
    </row>
    <row r="501">
      <c r="A501" s="11"/>
      <c r="B501" s="11"/>
      <c r="C501" s="11"/>
      <c r="D501" s="11"/>
      <c r="E501" s="11"/>
      <c r="F501" s="11"/>
      <c r="G501" s="11"/>
    </row>
    <row r="502">
      <c r="A502" s="11"/>
      <c r="B502" s="11"/>
      <c r="C502" s="11"/>
      <c r="D502" s="11"/>
      <c r="E502" s="11"/>
      <c r="F502" s="11"/>
      <c r="G502" s="11"/>
    </row>
    <row r="503">
      <c r="A503" s="11"/>
      <c r="B503" s="11"/>
      <c r="C503" s="11"/>
      <c r="D503" s="11"/>
      <c r="E503" s="11"/>
      <c r="F503" s="11"/>
      <c r="G503" s="11"/>
    </row>
    <row r="504">
      <c r="A504" s="11"/>
      <c r="B504" s="11"/>
      <c r="C504" s="11"/>
      <c r="D504" s="11"/>
      <c r="E504" s="11"/>
      <c r="F504" s="11"/>
      <c r="G504" s="11"/>
    </row>
    <row r="505">
      <c r="A505" s="11"/>
      <c r="B505" s="11"/>
      <c r="C505" s="11"/>
      <c r="D505" s="11"/>
      <c r="E505" s="11"/>
      <c r="F505" s="11"/>
      <c r="G505" s="11"/>
    </row>
    <row r="506">
      <c r="A506" s="11"/>
      <c r="B506" s="11"/>
      <c r="C506" s="11"/>
      <c r="D506" s="11"/>
      <c r="E506" s="11"/>
      <c r="F506" s="11"/>
      <c r="G506" s="11"/>
    </row>
    <row r="507">
      <c r="A507" s="11"/>
      <c r="B507" s="11"/>
      <c r="C507" s="11"/>
      <c r="D507" s="11"/>
      <c r="E507" s="11"/>
      <c r="F507" s="11"/>
      <c r="G507" s="11"/>
    </row>
    <row r="508">
      <c r="A508" s="11"/>
      <c r="B508" s="11"/>
      <c r="C508" s="11"/>
      <c r="D508" s="11"/>
      <c r="E508" s="11"/>
      <c r="F508" s="11"/>
      <c r="G508" s="11"/>
    </row>
    <row r="509">
      <c r="A509" s="11"/>
      <c r="B509" s="11"/>
      <c r="C509" s="11"/>
      <c r="D509" s="11"/>
      <c r="E509" s="11"/>
      <c r="F509" s="11"/>
      <c r="G509" s="11"/>
    </row>
    <row r="510">
      <c r="A510" s="11"/>
      <c r="B510" s="11"/>
      <c r="C510" s="11"/>
      <c r="D510" s="11"/>
      <c r="E510" s="11"/>
      <c r="F510" s="11"/>
      <c r="G510" s="11"/>
    </row>
    <row r="511">
      <c r="A511" s="11"/>
      <c r="B511" s="11"/>
      <c r="C511" s="11"/>
      <c r="D511" s="11"/>
      <c r="E511" s="11"/>
      <c r="F511" s="11"/>
      <c r="G511" s="11"/>
    </row>
    <row r="512">
      <c r="A512" s="11"/>
      <c r="B512" s="11"/>
      <c r="C512" s="11"/>
      <c r="D512" s="11"/>
      <c r="E512" s="11"/>
      <c r="F512" s="11"/>
      <c r="G512" s="11"/>
    </row>
    <row r="513">
      <c r="A513" s="11"/>
      <c r="B513" s="11"/>
      <c r="C513" s="11"/>
      <c r="D513" s="11"/>
      <c r="E513" s="11"/>
      <c r="F513" s="11"/>
      <c r="G513" s="11"/>
    </row>
    <row r="514">
      <c r="A514" s="11"/>
      <c r="B514" s="11"/>
      <c r="C514" s="11"/>
      <c r="D514" s="11"/>
      <c r="E514" s="11"/>
      <c r="F514" s="11"/>
      <c r="G514" s="11"/>
    </row>
    <row r="515">
      <c r="A515" s="11"/>
      <c r="B515" s="11"/>
      <c r="C515" s="11"/>
      <c r="D515" s="11"/>
      <c r="E515" s="11"/>
      <c r="F515" s="11"/>
      <c r="G515" s="11"/>
    </row>
    <row r="516">
      <c r="A516" s="11"/>
      <c r="B516" s="11"/>
      <c r="C516" s="11"/>
      <c r="D516" s="11"/>
      <c r="E516" s="11"/>
      <c r="F516" s="11"/>
      <c r="G516" s="11"/>
    </row>
    <row r="517">
      <c r="A517" s="11"/>
      <c r="B517" s="11"/>
      <c r="C517" s="11"/>
      <c r="D517" s="11"/>
      <c r="E517" s="11"/>
      <c r="F517" s="11"/>
      <c r="G517" s="11"/>
    </row>
    <row r="518">
      <c r="A518" s="11"/>
      <c r="B518" s="11"/>
      <c r="C518" s="11"/>
      <c r="D518" s="11"/>
      <c r="E518" s="11"/>
      <c r="F518" s="11"/>
      <c r="G518" s="11"/>
    </row>
    <row r="519">
      <c r="A519" s="11"/>
      <c r="B519" s="11"/>
      <c r="C519" s="11"/>
      <c r="D519" s="11"/>
      <c r="E519" s="11"/>
      <c r="F519" s="11"/>
      <c r="G519" s="11"/>
    </row>
    <row r="520">
      <c r="A520" s="11"/>
      <c r="B520" s="11"/>
      <c r="C520" s="11"/>
      <c r="D520" s="11"/>
      <c r="E520" s="11"/>
      <c r="F520" s="11"/>
      <c r="G520" s="11"/>
    </row>
    <row r="521">
      <c r="A521" s="11"/>
      <c r="B521" s="11"/>
      <c r="C521" s="11"/>
      <c r="D521" s="11"/>
      <c r="E521" s="11"/>
      <c r="F521" s="11"/>
      <c r="G521" s="11"/>
    </row>
    <row r="522">
      <c r="A522" s="11"/>
      <c r="B522" s="11"/>
      <c r="C522" s="11"/>
      <c r="D522" s="11"/>
      <c r="E522" s="11"/>
      <c r="F522" s="11"/>
      <c r="G522" s="11"/>
    </row>
    <row r="523">
      <c r="A523" s="11"/>
      <c r="B523" s="11"/>
      <c r="C523" s="11"/>
      <c r="D523" s="11"/>
      <c r="E523" s="11"/>
      <c r="F523" s="11"/>
      <c r="G523" s="11"/>
    </row>
    <row r="524">
      <c r="A524" s="11"/>
      <c r="B524" s="11"/>
      <c r="C524" s="11"/>
      <c r="D524" s="11"/>
      <c r="E524" s="11"/>
      <c r="F524" s="11"/>
      <c r="G524" s="11"/>
    </row>
    <row r="525">
      <c r="A525" s="11"/>
      <c r="B525" s="11"/>
      <c r="C525" s="11"/>
      <c r="D525" s="11"/>
      <c r="E525" s="11"/>
      <c r="F525" s="11"/>
      <c r="G525" s="11"/>
    </row>
    <row r="526">
      <c r="A526" s="11"/>
      <c r="B526" s="11"/>
      <c r="C526" s="11"/>
      <c r="D526" s="11"/>
      <c r="E526" s="11"/>
      <c r="F526" s="11"/>
      <c r="G526" s="11"/>
    </row>
    <row r="527">
      <c r="A527" s="11"/>
      <c r="B527" s="11"/>
      <c r="C527" s="11"/>
      <c r="D527" s="11"/>
      <c r="E527" s="11"/>
      <c r="F527" s="11"/>
      <c r="G527" s="11"/>
    </row>
    <row r="528">
      <c r="A528" s="11"/>
      <c r="B528" s="11"/>
      <c r="C528" s="11"/>
      <c r="D528" s="11"/>
      <c r="E528" s="11"/>
      <c r="F528" s="11"/>
      <c r="G528" s="11"/>
    </row>
    <row r="529">
      <c r="A529" s="11"/>
      <c r="B529" s="11"/>
      <c r="C529" s="11"/>
      <c r="D529" s="11"/>
      <c r="E529" s="11"/>
      <c r="F529" s="11"/>
      <c r="G529" s="11"/>
    </row>
    <row r="530">
      <c r="A530" s="11"/>
      <c r="B530" s="11"/>
      <c r="C530" s="11"/>
      <c r="D530" s="11"/>
      <c r="E530" s="11"/>
      <c r="F530" s="11"/>
      <c r="G530" s="11"/>
    </row>
    <row r="531">
      <c r="A531" s="11"/>
      <c r="B531" s="11"/>
      <c r="C531" s="11"/>
      <c r="D531" s="11"/>
      <c r="E531" s="11"/>
      <c r="F531" s="11"/>
      <c r="G531" s="11"/>
    </row>
    <row r="532">
      <c r="A532" s="11"/>
      <c r="B532" s="11"/>
      <c r="C532" s="11"/>
      <c r="D532" s="11"/>
      <c r="E532" s="11"/>
      <c r="F532" s="11"/>
      <c r="G532" s="11"/>
    </row>
    <row r="533">
      <c r="A533" s="11"/>
      <c r="B533" s="11"/>
      <c r="C533" s="11"/>
      <c r="D533" s="11"/>
      <c r="E533" s="11"/>
      <c r="F533" s="11"/>
      <c r="G533" s="11"/>
    </row>
    <row r="534">
      <c r="A534" s="11"/>
      <c r="B534" s="11"/>
      <c r="C534" s="11"/>
      <c r="D534" s="11"/>
      <c r="E534" s="11"/>
      <c r="F534" s="11"/>
      <c r="G534" s="11"/>
    </row>
    <row r="535">
      <c r="A535" s="11"/>
      <c r="B535" s="11"/>
      <c r="C535" s="11"/>
      <c r="D535" s="11"/>
      <c r="E535" s="11"/>
      <c r="F535" s="11"/>
      <c r="G535" s="11"/>
    </row>
    <row r="536">
      <c r="A536" s="11"/>
      <c r="B536" s="11"/>
      <c r="C536" s="11"/>
      <c r="D536" s="11"/>
      <c r="E536" s="11"/>
      <c r="F536" s="11"/>
      <c r="G536" s="11"/>
    </row>
    <row r="537">
      <c r="A537" s="11"/>
      <c r="B537" s="11"/>
      <c r="C537" s="11"/>
      <c r="D537" s="11"/>
      <c r="E537" s="11"/>
      <c r="F537" s="11"/>
      <c r="G537" s="11"/>
    </row>
    <row r="538">
      <c r="A538" s="11"/>
      <c r="B538" s="11"/>
      <c r="C538" s="11"/>
      <c r="D538" s="11"/>
      <c r="E538" s="11"/>
      <c r="F538" s="11"/>
      <c r="G538" s="11"/>
    </row>
    <row r="539">
      <c r="A539" s="11"/>
      <c r="B539" s="11"/>
      <c r="C539" s="11"/>
      <c r="D539" s="11"/>
      <c r="E539" s="11"/>
      <c r="F539" s="11"/>
      <c r="G539" s="11"/>
    </row>
    <row r="540">
      <c r="A540" s="11"/>
      <c r="B540" s="11"/>
      <c r="C540" s="11"/>
      <c r="D540" s="11"/>
      <c r="E540" s="11"/>
      <c r="F540" s="11"/>
      <c r="G540" s="11"/>
    </row>
    <row r="541">
      <c r="A541" s="11"/>
      <c r="B541" s="11"/>
      <c r="C541" s="11"/>
      <c r="D541" s="11"/>
      <c r="E541" s="11"/>
      <c r="F541" s="11"/>
      <c r="G541" s="11"/>
    </row>
    <row r="542">
      <c r="A542" s="11"/>
      <c r="B542" s="11"/>
      <c r="C542" s="11"/>
      <c r="D542" s="11"/>
      <c r="E542" s="11"/>
      <c r="F542" s="11"/>
      <c r="G542" s="11"/>
    </row>
    <row r="543">
      <c r="A543" s="11"/>
      <c r="B543" s="11"/>
      <c r="C543" s="11"/>
      <c r="D543" s="11"/>
      <c r="E543" s="11"/>
      <c r="F543" s="11"/>
      <c r="G543" s="11"/>
    </row>
    <row r="544">
      <c r="A544" s="11"/>
      <c r="B544" s="11"/>
      <c r="C544" s="11"/>
      <c r="D544" s="11"/>
      <c r="E544" s="11"/>
      <c r="F544" s="11"/>
      <c r="G544" s="11"/>
    </row>
    <row r="545">
      <c r="A545" s="11"/>
      <c r="B545" s="11"/>
      <c r="C545" s="11"/>
      <c r="D545" s="11"/>
      <c r="E545" s="11"/>
      <c r="F545" s="11"/>
      <c r="G545" s="11"/>
    </row>
    <row r="546">
      <c r="A546" s="11"/>
      <c r="B546" s="11"/>
      <c r="C546" s="11"/>
      <c r="D546" s="11"/>
      <c r="E546" s="11"/>
      <c r="F546" s="11"/>
      <c r="G546" s="11"/>
    </row>
    <row r="547">
      <c r="A547" s="11"/>
      <c r="B547" s="11"/>
      <c r="C547" s="11"/>
      <c r="D547" s="11"/>
      <c r="E547" s="11"/>
      <c r="F547" s="11"/>
      <c r="G547" s="11"/>
    </row>
    <row r="548">
      <c r="A548" s="11"/>
      <c r="B548" s="11"/>
      <c r="C548" s="11"/>
      <c r="D548" s="11"/>
      <c r="E548" s="11"/>
      <c r="F548" s="11"/>
      <c r="G548" s="11"/>
    </row>
    <row r="549">
      <c r="A549" s="11"/>
      <c r="B549" s="11"/>
      <c r="C549" s="11"/>
      <c r="D549" s="11"/>
      <c r="E549" s="11"/>
      <c r="F549" s="11"/>
      <c r="G549" s="11"/>
    </row>
    <row r="550">
      <c r="A550" s="11"/>
      <c r="B550" s="11"/>
      <c r="C550" s="11"/>
      <c r="D550" s="11"/>
      <c r="E550" s="11"/>
      <c r="F550" s="11"/>
      <c r="G550" s="11"/>
    </row>
    <row r="551">
      <c r="A551" s="11"/>
      <c r="B551" s="11"/>
      <c r="C551" s="11"/>
      <c r="D551" s="11"/>
      <c r="E551" s="11"/>
      <c r="F551" s="11"/>
      <c r="G551" s="11"/>
    </row>
    <row r="552">
      <c r="A552" s="11"/>
      <c r="B552" s="11"/>
      <c r="C552" s="11"/>
      <c r="D552" s="11"/>
      <c r="E552" s="11"/>
      <c r="F552" s="11"/>
      <c r="G552" s="11"/>
    </row>
    <row r="553">
      <c r="A553" s="11"/>
      <c r="B553" s="11"/>
      <c r="C553" s="11"/>
      <c r="D553" s="11"/>
      <c r="E553" s="11"/>
      <c r="F553" s="11"/>
      <c r="G553" s="11"/>
    </row>
    <row r="554">
      <c r="A554" s="11"/>
      <c r="B554" s="11"/>
      <c r="C554" s="11"/>
      <c r="D554" s="11"/>
      <c r="E554" s="11"/>
      <c r="F554" s="11"/>
      <c r="G554" s="11"/>
    </row>
    <row r="555">
      <c r="A555" s="11"/>
      <c r="B555" s="11"/>
      <c r="C555" s="11"/>
      <c r="D555" s="11"/>
      <c r="E555" s="11"/>
      <c r="F555" s="11"/>
      <c r="G555" s="11"/>
    </row>
    <row r="556">
      <c r="A556" s="11"/>
      <c r="B556" s="11"/>
      <c r="C556" s="11"/>
      <c r="D556" s="11"/>
      <c r="E556" s="11"/>
      <c r="F556" s="11"/>
      <c r="G556" s="11"/>
    </row>
    <row r="557">
      <c r="A557" s="11"/>
      <c r="B557" s="11"/>
      <c r="C557" s="11"/>
      <c r="D557" s="11"/>
      <c r="E557" s="11"/>
      <c r="F557" s="11"/>
      <c r="G557" s="11"/>
    </row>
    <row r="558">
      <c r="A558" s="11"/>
      <c r="B558" s="11"/>
      <c r="C558" s="11"/>
      <c r="D558" s="11"/>
      <c r="E558" s="11"/>
      <c r="F558" s="11"/>
      <c r="G558" s="11"/>
    </row>
    <row r="559">
      <c r="A559" s="11"/>
      <c r="B559" s="11"/>
      <c r="C559" s="11"/>
      <c r="D559" s="11"/>
      <c r="E559" s="11"/>
      <c r="F559" s="11"/>
      <c r="G559" s="11"/>
    </row>
    <row r="560">
      <c r="A560" s="11"/>
      <c r="B560" s="11"/>
      <c r="C560" s="11"/>
      <c r="D560" s="11"/>
      <c r="E560" s="11"/>
      <c r="F560" s="11"/>
      <c r="G560" s="11"/>
    </row>
    <row r="561">
      <c r="A561" s="11"/>
      <c r="B561" s="11"/>
      <c r="C561" s="11"/>
      <c r="D561" s="11"/>
      <c r="E561" s="11"/>
      <c r="F561" s="11"/>
      <c r="G561" s="11"/>
    </row>
    <row r="562">
      <c r="A562" s="11"/>
      <c r="B562" s="11"/>
      <c r="C562" s="11"/>
      <c r="D562" s="11"/>
      <c r="E562" s="11"/>
      <c r="F562" s="11"/>
      <c r="G562" s="11"/>
    </row>
    <row r="563">
      <c r="A563" s="11"/>
      <c r="B563" s="11"/>
      <c r="C563" s="11"/>
      <c r="D563" s="11"/>
      <c r="E563" s="11"/>
      <c r="F563" s="11"/>
      <c r="G563" s="11"/>
    </row>
    <row r="564">
      <c r="A564" s="11"/>
      <c r="B564" s="11"/>
      <c r="C564" s="11"/>
      <c r="D564" s="11"/>
      <c r="E564" s="11"/>
      <c r="F564" s="11"/>
      <c r="G564" s="11"/>
    </row>
    <row r="565">
      <c r="A565" s="11"/>
      <c r="B565" s="11"/>
      <c r="C565" s="11"/>
      <c r="D565" s="11"/>
      <c r="E565" s="11"/>
      <c r="F565" s="11"/>
      <c r="G565" s="11"/>
    </row>
    <row r="566">
      <c r="A566" s="11"/>
      <c r="B566" s="11"/>
      <c r="C566" s="11"/>
      <c r="D566" s="11"/>
      <c r="E566" s="11"/>
      <c r="F566" s="11"/>
      <c r="G566" s="11"/>
    </row>
    <row r="567">
      <c r="A567" s="11"/>
      <c r="B567" s="11"/>
      <c r="C567" s="11"/>
      <c r="D567" s="11"/>
      <c r="E567" s="11"/>
      <c r="F567" s="11"/>
      <c r="G567" s="11"/>
    </row>
    <row r="568">
      <c r="A568" s="11"/>
      <c r="B568" s="11"/>
      <c r="C568" s="11"/>
      <c r="D568" s="11"/>
      <c r="E568" s="11"/>
      <c r="F568" s="11"/>
      <c r="G568" s="11"/>
    </row>
    <row r="569">
      <c r="A569" s="11"/>
      <c r="B569" s="11"/>
      <c r="C569" s="11"/>
      <c r="D569" s="11"/>
      <c r="E569" s="11"/>
      <c r="F569" s="11"/>
      <c r="G569" s="11"/>
    </row>
    <row r="570">
      <c r="A570" s="11"/>
      <c r="B570" s="11"/>
      <c r="C570" s="11"/>
      <c r="D570" s="11"/>
      <c r="E570" s="11"/>
      <c r="F570" s="11"/>
      <c r="G570" s="11"/>
    </row>
    <row r="571">
      <c r="A571" s="11"/>
      <c r="B571" s="11"/>
      <c r="C571" s="11"/>
      <c r="D571" s="11"/>
      <c r="E571" s="11"/>
      <c r="F571" s="11"/>
      <c r="G571" s="11"/>
    </row>
    <row r="572">
      <c r="A572" s="11"/>
      <c r="B572" s="11"/>
      <c r="C572" s="11"/>
      <c r="D572" s="11"/>
      <c r="E572" s="11"/>
      <c r="F572" s="11"/>
      <c r="G572" s="11"/>
    </row>
    <row r="573">
      <c r="A573" s="11"/>
      <c r="B573" s="11"/>
      <c r="C573" s="11"/>
      <c r="D573" s="11"/>
      <c r="E573" s="11"/>
      <c r="F573" s="11"/>
      <c r="G573" s="11"/>
    </row>
    <row r="574">
      <c r="A574" s="11"/>
      <c r="B574" s="11"/>
      <c r="C574" s="11"/>
      <c r="D574" s="11"/>
      <c r="E574" s="11"/>
      <c r="F574" s="11"/>
      <c r="G574" s="11"/>
    </row>
    <row r="575">
      <c r="A575" s="11"/>
      <c r="B575" s="11"/>
      <c r="C575" s="11"/>
      <c r="D575" s="11"/>
      <c r="E575" s="11"/>
      <c r="F575" s="11"/>
      <c r="G575" s="11"/>
    </row>
    <row r="576">
      <c r="A576" s="11"/>
      <c r="B576" s="11"/>
      <c r="C576" s="11"/>
      <c r="D576" s="11"/>
      <c r="E576" s="11"/>
      <c r="F576" s="11"/>
      <c r="G576" s="11"/>
    </row>
    <row r="577">
      <c r="A577" s="11"/>
      <c r="B577" s="11"/>
      <c r="C577" s="11"/>
      <c r="D577" s="11"/>
      <c r="E577" s="11"/>
      <c r="F577" s="11"/>
      <c r="G577" s="11"/>
    </row>
    <row r="578">
      <c r="A578" s="11"/>
      <c r="B578" s="11"/>
      <c r="C578" s="11"/>
      <c r="D578" s="11"/>
      <c r="E578" s="11"/>
      <c r="F578" s="11"/>
      <c r="G578" s="11"/>
    </row>
    <row r="579">
      <c r="A579" s="11"/>
      <c r="B579" s="11"/>
      <c r="C579" s="11"/>
      <c r="D579" s="11"/>
      <c r="E579" s="11"/>
      <c r="F579" s="11"/>
      <c r="G579" s="11"/>
    </row>
    <row r="580">
      <c r="A580" s="11"/>
      <c r="B580" s="11"/>
      <c r="C580" s="11"/>
      <c r="D580" s="11"/>
      <c r="E580" s="11"/>
      <c r="F580" s="11"/>
      <c r="G580" s="11"/>
    </row>
    <row r="581">
      <c r="A581" s="11"/>
      <c r="B581" s="11"/>
      <c r="C581" s="11"/>
      <c r="D581" s="11"/>
      <c r="E581" s="11"/>
      <c r="F581" s="11"/>
      <c r="G581" s="11"/>
    </row>
    <row r="582">
      <c r="A582" s="11"/>
      <c r="B582" s="11"/>
      <c r="C582" s="11"/>
      <c r="D582" s="11"/>
      <c r="E582" s="11"/>
      <c r="F582" s="11"/>
      <c r="G582" s="11"/>
    </row>
    <row r="583">
      <c r="A583" s="11"/>
      <c r="B583" s="11"/>
      <c r="C583" s="11"/>
      <c r="D583" s="11"/>
      <c r="E583" s="11"/>
      <c r="F583" s="11"/>
      <c r="G583" s="11"/>
    </row>
    <row r="584">
      <c r="A584" s="11"/>
      <c r="B584" s="11"/>
      <c r="C584" s="11"/>
      <c r="D584" s="11"/>
      <c r="E584" s="11"/>
      <c r="F584" s="11"/>
      <c r="G584" s="11"/>
    </row>
    <row r="585">
      <c r="A585" s="11"/>
      <c r="B585" s="11"/>
      <c r="C585" s="11"/>
      <c r="D585" s="11"/>
      <c r="E585" s="11"/>
      <c r="F585" s="11"/>
      <c r="G585" s="11"/>
    </row>
    <row r="586">
      <c r="A586" s="11"/>
      <c r="B586" s="11"/>
      <c r="C586" s="11"/>
      <c r="D586" s="11"/>
      <c r="E586" s="11"/>
      <c r="F586" s="11"/>
      <c r="G586" s="11"/>
    </row>
    <row r="587">
      <c r="A587" s="11"/>
      <c r="B587" s="11"/>
      <c r="C587" s="11"/>
      <c r="D587" s="11"/>
      <c r="E587" s="11"/>
      <c r="F587" s="11"/>
      <c r="G587" s="11"/>
    </row>
    <row r="588">
      <c r="A588" s="11"/>
      <c r="B588" s="11"/>
      <c r="C588" s="11"/>
      <c r="D588" s="11"/>
      <c r="E588" s="11"/>
      <c r="F588" s="11"/>
      <c r="G588" s="11"/>
    </row>
    <row r="589">
      <c r="A589" s="11"/>
      <c r="B589" s="11"/>
      <c r="C589" s="11"/>
      <c r="D589" s="11"/>
      <c r="E589" s="11"/>
      <c r="F589" s="11"/>
      <c r="G589" s="11"/>
    </row>
    <row r="590">
      <c r="A590" s="11"/>
      <c r="B590" s="11"/>
      <c r="C590" s="11"/>
      <c r="D590" s="11"/>
      <c r="E590" s="11"/>
      <c r="F590" s="11"/>
      <c r="G590" s="11"/>
    </row>
    <row r="591">
      <c r="A591" s="11"/>
      <c r="B591" s="11"/>
      <c r="C591" s="11"/>
      <c r="D591" s="11"/>
      <c r="E591" s="11"/>
      <c r="F591" s="11"/>
      <c r="G591" s="11"/>
    </row>
    <row r="592">
      <c r="A592" s="11"/>
      <c r="B592" s="11"/>
      <c r="C592" s="11"/>
      <c r="D592" s="11"/>
      <c r="E592" s="11"/>
      <c r="F592" s="11"/>
      <c r="G592" s="11"/>
    </row>
    <row r="593">
      <c r="A593" s="11"/>
      <c r="B593" s="11"/>
      <c r="C593" s="11"/>
      <c r="D593" s="11"/>
      <c r="E593" s="11"/>
      <c r="F593" s="11"/>
      <c r="G593" s="11"/>
    </row>
    <row r="594">
      <c r="A594" s="11"/>
      <c r="B594" s="11"/>
      <c r="C594" s="11"/>
      <c r="D594" s="11"/>
      <c r="E594" s="11"/>
      <c r="F594" s="11"/>
      <c r="G594" s="11"/>
    </row>
    <row r="595">
      <c r="A595" s="11"/>
      <c r="B595" s="11"/>
      <c r="C595" s="11"/>
      <c r="D595" s="11"/>
      <c r="E595" s="11"/>
      <c r="F595" s="11"/>
      <c r="G595" s="11"/>
    </row>
    <row r="596">
      <c r="A596" s="11"/>
      <c r="B596" s="11"/>
      <c r="C596" s="11"/>
      <c r="D596" s="11"/>
      <c r="E596" s="11"/>
      <c r="F596" s="11"/>
      <c r="G596" s="11"/>
    </row>
    <row r="597">
      <c r="A597" s="11"/>
      <c r="B597" s="11"/>
      <c r="C597" s="11"/>
      <c r="D597" s="11"/>
      <c r="E597" s="11"/>
      <c r="F597" s="11"/>
      <c r="G597" s="11"/>
    </row>
    <row r="598">
      <c r="A598" s="11"/>
      <c r="B598" s="11"/>
      <c r="C598" s="11"/>
      <c r="D598" s="11"/>
      <c r="E598" s="11"/>
      <c r="F598" s="11"/>
      <c r="G598" s="11"/>
    </row>
    <row r="599">
      <c r="A599" s="11"/>
      <c r="B599" s="11"/>
      <c r="C599" s="11"/>
      <c r="D599" s="11"/>
      <c r="E599" s="11"/>
      <c r="F599" s="11"/>
      <c r="G599" s="11"/>
    </row>
    <row r="600">
      <c r="A600" s="11"/>
      <c r="B600" s="11"/>
      <c r="C600" s="11"/>
      <c r="D600" s="11"/>
      <c r="E600" s="11"/>
      <c r="F600" s="11"/>
      <c r="G600" s="11"/>
    </row>
    <row r="601">
      <c r="A601" s="11"/>
      <c r="B601" s="11"/>
      <c r="C601" s="11"/>
      <c r="D601" s="11"/>
      <c r="E601" s="11"/>
      <c r="F601" s="11"/>
      <c r="G601" s="11"/>
    </row>
    <row r="602">
      <c r="A602" s="11"/>
      <c r="B602" s="11"/>
      <c r="C602" s="11"/>
      <c r="D602" s="11"/>
      <c r="E602" s="11"/>
      <c r="F602" s="11"/>
      <c r="G602" s="11"/>
    </row>
    <row r="603">
      <c r="A603" s="11"/>
      <c r="B603" s="11"/>
      <c r="C603" s="11"/>
      <c r="D603" s="11"/>
      <c r="E603" s="11"/>
      <c r="F603" s="11"/>
      <c r="G603" s="11"/>
    </row>
    <row r="604">
      <c r="A604" s="11"/>
      <c r="B604" s="11"/>
      <c r="C604" s="11"/>
      <c r="D604" s="11"/>
      <c r="E604" s="11"/>
      <c r="F604" s="11"/>
      <c r="G604" s="11"/>
    </row>
    <row r="605">
      <c r="A605" s="11"/>
      <c r="B605" s="11"/>
      <c r="C605" s="11"/>
      <c r="D605" s="11"/>
      <c r="E605" s="11"/>
      <c r="F605" s="11"/>
      <c r="G605" s="11"/>
    </row>
    <row r="606">
      <c r="A606" s="11"/>
      <c r="B606" s="11"/>
      <c r="C606" s="11"/>
      <c r="D606" s="11"/>
      <c r="E606" s="11"/>
      <c r="F606" s="11"/>
      <c r="G606" s="11"/>
    </row>
    <row r="607">
      <c r="A607" s="11"/>
      <c r="B607" s="11"/>
      <c r="C607" s="11"/>
      <c r="D607" s="11"/>
      <c r="E607" s="11"/>
      <c r="F607" s="11"/>
      <c r="G607" s="11"/>
    </row>
    <row r="608">
      <c r="A608" s="11"/>
      <c r="B608" s="11"/>
      <c r="C608" s="11"/>
      <c r="D608" s="11"/>
      <c r="E608" s="11"/>
      <c r="F608" s="11"/>
      <c r="G608" s="11"/>
    </row>
    <row r="609">
      <c r="A609" s="11"/>
      <c r="B609" s="11"/>
      <c r="C609" s="11"/>
      <c r="D609" s="11"/>
      <c r="E609" s="11"/>
      <c r="F609" s="11"/>
      <c r="G609" s="11"/>
    </row>
    <row r="610">
      <c r="A610" s="11"/>
      <c r="B610" s="11"/>
      <c r="C610" s="11"/>
      <c r="D610" s="11"/>
      <c r="E610" s="11"/>
      <c r="F610" s="11"/>
      <c r="G610" s="11"/>
    </row>
    <row r="611">
      <c r="A611" s="11"/>
      <c r="B611" s="11"/>
      <c r="C611" s="11"/>
      <c r="D611" s="11"/>
      <c r="E611" s="11"/>
      <c r="F611" s="11"/>
      <c r="G611" s="11"/>
    </row>
    <row r="612">
      <c r="A612" s="11"/>
      <c r="B612" s="11"/>
      <c r="C612" s="11"/>
      <c r="D612" s="11"/>
      <c r="E612" s="11"/>
      <c r="F612" s="11"/>
      <c r="G612" s="11"/>
    </row>
    <row r="613">
      <c r="A613" s="11"/>
      <c r="B613" s="11"/>
      <c r="C613" s="11"/>
      <c r="D613" s="11"/>
      <c r="E613" s="11"/>
      <c r="F613" s="11"/>
      <c r="G613" s="11"/>
    </row>
    <row r="614">
      <c r="A614" s="11"/>
      <c r="B614" s="11"/>
      <c r="C614" s="11"/>
      <c r="D614" s="11"/>
      <c r="E614" s="11"/>
      <c r="F614" s="11"/>
      <c r="G614" s="11"/>
    </row>
    <row r="615">
      <c r="A615" s="11"/>
      <c r="B615" s="11"/>
      <c r="C615" s="11"/>
      <c r="D615" s="11"/>
      <c r="E615" s="11"/>
      <c r="F615" s="11"/>
      <c r="G615" s="11"/>
    </row>
    <row r="616">
      <c r="A616" s="11"/>
      <c r="B616" s="11"/>
      <c r="C616" s="11"/>
      <c r="D616" s="11"/>
      <c r="E616" s="11"/>
      <c r="F616" s="11"/>
      <c r="G616" s="11"/>
    </row>
    <row r="617">
      <c r="A617" s="11"/>
      <c r="B617" s="11"/>
      <c r="C617" s="11"/>
      <c r="D617" s="11"/>
      <c r="E617" s="11"/>
      <c r="F617" s="11"/>
      <c r="G617" s="11"/>
    </row>
    <row r="618">
      <c r="A618" s="11"/>
      <c r="B618" s="11"/>
      <c r="C618" s="11"/>
      <c r="D618" s="11"/>
      <c r="E618" s="11"/>
      <c r="F618" s="11"/>
      <c r="G618" s="11"/>
    </row>
    <row r="619">
      <c r="A619" s="11"/>
      <c r="B619" s="11"/>
      <c r="C619" s="11"/>
      <c r="D619" s="11"/>
      <c r="E619" s="11"/>
      <c r="F619" s="11"/>
      <c r="G619" s="11"/>
    </row>
    <row r="620">
      <c r="A620" s="11"/>
      <c r="B620" s="11"/>
      <c r="C620" s="11"/>
      <c r="D620" s="11"/>
      <c r="E620" s="11"/>
      <c r="F620" s="11"/>
      <c r="G620" s="11"/>
    </row>
    <row r="621">
      <c r="A621" s="11"/>
      <c r="B621" s="11"/>
      <c r="C621" s="11"/>
      <c r="D621" s="11"/>
      <c r="E621" s="11"/>
      <c r="F621" s="11"/>
      <c r="G621" s="11"/>
    </row>
    <row r="622">
      <c r="A622" s="11"/>
      <c r="B622" s="11"/>
      <c r="C622" s="11"/>
      <c r="D622" s="11"/>
      <c r="E622" s="11"/>
      <c r="F622" s="11"/>
      <c r="G622" s="11"/>
    </row>
    <row r="623">
      <c r="A623" s="11"/>
      <c r="B623" s="11"/>
      <c r="C623" s="11"/>
      <c r="D623" s="11"/>
      <c r="E623" s="11"/>
      <c r="F623" s="11"/>
      <c r="G623" s="11"/>
    </row>
    <row r="624">
      <c r="A624" s="11"/>
      <c r="B624" s="11"/>
      <c r="C624" s="11"/>
      <c r="D624" s="11"/>
      <c r="E624" s="11"/>
      <c r="F624" s="11"/>
      <c r="G624" s="11"/>
    </row>
    <row r="625">
      <c r="A625" s="11"/>
      <c r="B625" s="11"/>
      <c r="C625" s="11"/>
      <c r="D625" s="11"/>
      <c r="E625" s="11"/>
      <c r="F625" s="11"/>
      <c r="G625" s="11"/>
    </row>
    <row r="626">
      <c r="A626" s="11"/>
      <c r="B626" s="11"/>
      <c r="C626" s="11"/>
      <c r="D626" s="11"/>
      <c r="E626" s="11"/>
      <c r="F626" s="11"/>
      <c r="G626" s="11"/>
    </row>
    <row r="627">
      <c r="A627" s="11"/>
      <c r="B627" s="11"/>
      <c r="C627" s="11"/>
      <c r="D627" s="11"/>
      <c r="E627" s="11"/>
      <c r="F627" s="11"/>
      <c r="G627" s="11"/>
    </row>
    <row r="628">
      <c r="A628" s="11"/>
      <c r="B628" s="11"/>
      <c r="C628" s="11"/>
      <c r="D628" s="11"/>
      <c r="E628" s="11"/>
      <c r="F628" s="11"/>
      <c r="G628" s="11"/>
    </row>
    <row r="629">
      <c r="A629" s="11"/>
      <c r="B629" s="11"/>
      <c r="C629" s="11"/>
      <c r="D629" s="11"/>
      <c r="E629" s="11"/>
      <c r="F629" s="11"/>
      <c r="G629" s="11"/>
    </row>
    <row r="630">
      <c r="A630" s="11"/>
      <c r="B630" s="11"/>
      <c r="C630" s="11"/>
      <c r="D630" s="11"/>
      <c r="E630" s="11"/>
      <c r="F630" s="11"/>
      <c r="G630" s="11"/>
    </row>
    <row r="631">
      <c r="A631" s="11"/>
      <c r="B631" s="11"/>
      <c r="C631" s="11"/>
      <c r="D631" s="11"/>
      <c r="E631" s="11"/>
      <c r="F631" s="11"/>
      <c r="G631" s="11"/>
    </row>
    <row r="632">
      <c r="A632" s="11"/>
      <c r="B632" s="11"/>
      <c r="C632" s="11"/>
      <c r="D632" s="11"/>
      <c r="E632" s="11"/>
      <c r="F632" s="11"/>
      <c r="G632" s="11"/>
    </row>
    <row r="633">
      <c r="A633" s="11"/>
      <c r="B633" s="11"/>
      <c r="C633" s="11"/>
      <c r="D633" s="11"/>
      <c r="E633" s="11"/>
      <c r="F633" s="11"/>
      <c r="G633" s="11"/>
    </row>
    <row r="634">
      <c r="A634" s="11"/>
      <c r="B634" s="11"/>
      <c r="C634" s="11"/>
      <c r="D634" s="11"/>
      <c r="E634" s="11"/>
      <c r="F634" s="11"/>
      <c r="G634" s="11"/>
    </row>
    <row r="635">
      <c r="A635" s="11"/>
      <c r="B635" s="11"/>
      <c r="C635" s="11"/>
      <c r="D635" s="11"/>
      <c r="E635" s="11"/>
      <c r="F635" s="11"/>
      <c r="G635" s="11"/>
    </row>
    <row r="636">
      <c r="A636" s="11"/>
      <c r="B636" s="11"/>
      <c r="C636" s="11"/>
      <c r="D636" s="11"/>
      <c r="E636" s="11"/>
      <c r="F636" s="11"/>
      <c r="G636" s="11"/>
    </row>
    <row r="637">
      <c r="A637" s="11"/>
      <c r="B637" s="11"/>
      <c r="C637" s="11"/>
      <c r="D637" s="11"/>
      <c r="E637" s="11"/>
      <c r="F637" s="11"/>
      <c r="G637" s="11"/>
    </row>
    <row r="638">
      <c r="A638" s="11"/>
      <c r="B638" s="11"/>
      <c r="C638" s="11"/>
      <c r="D638" s="11"/>
      <c r="E638" s="11"/>
      <c r="F638" s="11"/>
      <c r="G638" s="11"/>
    </row>
    <row r="639">
      <c r="A639" s="11"/>
      <c r="B639" s="11"/>
      <c r="C639" s="11"/>
      <c r="D639" s="11"/>
      <c r="E639" s="11"/>
      <c r="F639" s="11"/>
      <c r="G639" s="11"/>
    </row>
    <row r="640">
      <c r="A640" s="11"/>
      <c r="B640" s="11"/>
      <c r="C640" s="11"/>
      <c r="D640" s="11"/>
      <c r="E640" s="11"/>
      <c r="F640" s="11"/>
      <c r="G640" s="11"/>
    </row>
    <row r="641">
      <c r="A641" s="11"/>
      <c r="B641" s="11"/>
      <c r="C641" s="11"/>
      <c r="D641" s="11"/>
      <c r="E641" s="11"/>
      <c r="F641" s="11"/>
      <c r="G641" s="11"/>
    </row>
    <row r="642">
      <c r="A642" s="11"/>
      <c r="B642" s="11"/>
      <c r="C642" s="11"/>
      <c r="D642" s="11"/>
      <c r="E642" s="11"/>
      <c r="F642" s="11"/>
      <c r="G642" s="11"/>
    </row>
    <row r="643">
      <c r="A643" s="11"/>
      <c r="B643" s="11"/>
      <c r="C643" s="11"/>
      <c r="D643" s="11"/>
      <c r="E643" s="11"/>
      <c r="F643" s="11"/>
      <c r="G643" s="11"/>
    </row>
    <row r="644">
      <c r="A644" s="11"/>
      <c r="B644" s="11"/>
      <c r="C644" s="11"/>
      <c r="D644" s="11"/>
      <c r="E644" s="11"/>
      <c r="F644" s="11"/>
      <c r="G644" s="11"/>
    </row>
    <row r="645">
      <c r="A645" s="11"/>
      <c r="B645" s="11"/>
      <c r="C645" s="11"/>
      <c r="D645" s="11"/>
      <c r="E645" s="11"/>
      <c r="F645" s="11"/>
      <c r="G645" s="11"/>
    </row>
    <row r="646">
      <c r="A646" s="11"/>
      <c r="B646" s="11"/>
      <c r="C646" s="11"/>
      <c r="D646" s="11"/>
      <c r="E646" s="11"/>
      <c r="F646" s="11"/>
      <c r="G646" s="11"/>
    </row>
    <row r="647">
      <c r="A647" s="11"/>
      <c r="B647" s="11"/>
      <c r="C647" s="11"/>
      <c r="D647" s="11"/>
      <c r="E647" s="11"/>
      <c r="F647" s="11"/>
      <c r="G647" s="11"/>
    </row>
    <row r="648">
      <c r="A648" s="11"/>
      <c r="B648" s="11"/>
      <c r="C648" s="11"/>
      <c r="D648" s="11"/>
      <c r="E648" s="11"/>
      <c r="F648" s="11"/>
      <c r="G648" s="11"/>
    </row>
    <row r="649">
      <c r="A649" s="11"/>
      <c r="B649" s="11"/>
      <c r="C649" s="11"/>
      <c r="D649" s="11"/>
      <c r="E649" s="11"/>
      <c r="F649" s="11"/>
      <c r="G649" s="11"/>
    </row>
    <row r="650">
      <c r="A650" s="11"/>
      <c r="B650" s="11"/>
      <c r="C650" s="11"/>
      <c r="D650" s="11"/>
      <c r="E650" s="11"/>
      <c r="F650" s="11"/>
      <c r="G650" s="11"/>
    </row>
    <row r="651">
      <c r="A651" s="11"/>
      <c r="B651" s="11"/>
      <c r="C651" s="11"/>
      <c r="D651" s="11"/>
      <c r="E651" s="11"/>
      <c r="F651" s="11"/>
      <c r="G651" s="11"/>
    </row>
    <row r="652">
      <c r="A652" s="11"/>
      <c r="B652" s="11"/>
      <c r="C652" s="11"/>
      <c r="D652" s="11"/>
      <c r="E652" s="11"/>
      <c r="F652" s="11"/>
      <c r="G652" s="11"/>
    </row>
    <row r="653">
      <c r="A653" s="11"/>
      <c r="B653" s="11"/>
      <c r="C653" s="11"/>
      <c r="D653" s="11"/>
      <c r="E653" s="11"/>
      <c r="F653" s="11"/>
      <c r="G653" s="11"/>
    </row>
    <row r="654">
      <c r="A654" s="11"/>
      <c r="B654" s="11"/>
      <c r="C654" s="11"/>
      <c r="D654" s="11"/>
      <c r="E654" s="11"/>
      <c r="F654" s="11"/>
      <c r="G654" s="11"/>
    </row>
    <row r="655">
      <c r="A655" s="11"/>
      <c r="B655" s="11"/>
      <c r="C655" s="11"/>
      <c r="D655" s="11"/>
      <c r="E655" s="11"/>
      <c r="F655" s="11"/>
      <c r="G655" s="11"/>
    </row>
    <row r="656">
      <c r="A656" s="11"/>
      <c r="B656" s="11"/>
      <c r="C656" s="11"/>
      <c r="D656" s="11"/>
      <c r="E656" s="11"/>
      <c r="F656" s="11"/>
      <c r="G656" s="11"/>
    </row>
    <row r="657">
      <c r="A657" s="11"/>
      <c r="B657" s="11"/>
      <c r="C657" s="11"/>
      <c r="D657" s="11"/>
      <c r="E657" s="11"/>
      <c r="F657" s="11"/>
      <c r="G657" s="11"/>
    </row>
    <row r="658">
      <c r="A658" s="11"/>
      <c r="B658" s="11"/>
      <c r="C658" s="11"/>
      <c r="D658" s="11"/>
      <c r="E658" s="11"/>
      <c r="F658" s="11"/>
      <c r="G658" s="11"/>
    </row>
    <row r="659">
      <c r="A659" s="11"/>
      <c r="B659" s="11"/>
      <c r="C659" s="11"/>
      <c r="D659" s="11"/>
      <c r="E659" s="11"/>
      <c r="F659" s="11"/>
      <c r="G659" s="11"/>
    </row>
    <row r="660">
      <c r="A660" s="11"/>
      <c r="B660" s="11"/>
      <c r="C660" s="11"/>
      <c r="D660" s="11"/>
      <c r="E660" s="11"/>
      <c r="F660" s="11"/>
      <c r="G660" s="11"/>
    </row>
    <row r="661">
      <c r="A661" s="11"/>
      <c r="B661" s="11"/>
      <c r="C661" s="11"/>
      <c r="D661" s="11"/>
      <c r="E661" s="11"/>
      <c r="F661" s="11"/>
      <c r="G661" s="11"/>
    </row>
    <row r="662">
      <c r="A662" s="11"/>
      <c r="B662" s="11"/>
      <c r="C662" s="11"/>
      <c r="D662" s="11"/>
      <c r="E662" s="11"/>
      <c r="F662" s="11"/>
      <c r="G662" s="11"/>
    </row>
    <row r="663">
      <c r="A663" s="11"/>
      <c r="B663" s="11"/>
      <c r="C663" s="11"/>
      <c r="D663" s="11"/>
      <c r="E663" s="11"/>
      <c r="F663" s="11"/>
      <c r="G663" s="11"/>
    </row>
    <row r="664">
      <c r="A664" s="11"/>
      <c r="B664" s="11"/>
      <c r="C664" s="11"/>
      <c r="D664" s="11"/>
      <c r="E664" s="11"/>
      <c r="F664" s="11"/>
      <c r="G664" s="11"/>
    </row>
    <row r="665">
      <c r="A665" s="11"/>
      <c r="B665" s="11"/>
      <c r="C665" s="11"/>
      <c r="D665" s="11"/>
      <c r="E665" s="11"/>
      <c r="F665" s="11"/>
      <c r="G665" s="11"/>
    </row>
    <row r="666">
      <c r="A666" s="11"/>
      <c r="B666" s="11"/>
      <c r="C666" s="11"/>
      <c r="D666" s="11"/>
      <c r="E666" s="11"/>
      <c r="F666" s="11"/>
      <c r="G666" s="11"/>
    </row>
    <row r="667">
      <c r="A667" s="11"/>
      <c r="B667" s="11"/>
      <c r="C667" s="11"/>
      <c r="D667" s="11"/>
      <c r="E667" s="11"/>
      <c r="F667" s="11"/>
      <c r="G667" s="11"/>
    </row>
    <row r="668">
      <c r="A668" s="11"/>
      <c r="B668" s="11"/>
      <c r="C668" s="11"/>
      <c r="D668" s="11"/>
      <c r="E668" s="11"/>
      <c r="F668" s="11"/>
      <c r="G668" s="11"/>
    </row>
    <row r="669">
      <c r="A669" s="11"/>
      <c r="B669" s="11"/>
      <c r="C669" s="11"/>
      <c r="D669" s="11"/>
      <c r="E669" s="11"/>
      <c r="F669" s="11"/>
      <c r="G669" s="11"/>
    </row>
    <row r="670">
      <c r="A670" s="11"/>
      <c r="B670" s="11"/>
      <c r="C670" s="11"/>
      <c r="D670" s="11"/>
      <c r="E670" s="11"/>
      <c r="F670" s="11"/>
      <c r="G670" s="11"/>
    </row>
    <row r="671">
      <c r="A671" s="11"/>
      <c r="B671" s="11"/>
      <c r="C671" s="11"/>
      <c r="D671" s="11"/>
      <c r="E671" s="11"/>
      <c r="F671" s="11"/>
      <c r="G671" s="11"/>
    </row>
    <row r="672">
      <c r="A672" s="11"/>
      <c r="B672" s="11"/>
      <c r="C672" s="11"/>
      <c r="D672" s="11"/>
      <c r="E672" s="11"/>
      <c r="F672" s="11"/>
      <c r="G672" s="11"/>
    </row>
    <row r="673">
      <c r="A673" s="11"/>
      <c r="B673" s="11"/>
      <c r="C673" s="11"/>
      <c r="D673" s="11"/>
      <c r="E673" s="11"/>
      <c r="F673" s="11"/>
      <c r="G673" s="11"/>
    </row>
    <row r="674">
      <c r="A674" s="11"/>
      <c r="B674" s="11"/>
      <c r="C674" s="11"/>
      <c r="D674" s="11"/>
      <c r="E674" s="11"/>
      <c r="F674" s="11"/>
      <c r="G674" s="11"/>
    </row>
    <row r="675">
      <c r="A675" s="11"/>
      <c r="B675" s="11"/>
      <c r="C675" s="11"/>
      <c r="D675" s="11"/>
      <c r="E675" s="11"/>
      <c r="F675" s="11"/>
      <c r="G675" s="11"/>
    </row>
    <row r="676">
      <c r="A676" s="11"/>
      <c r="B676" s="11"/>
      <c r="C676" s="11"/>
      <c r="D676" s="11"/>
      <c r="E676" s="11"/>
      <c r="F676" s="11"/>
      <c r="G676" s="11"/>
    </row>
    <row r="677">
      <c r="A677" s="11"/>
      <c r="B677" s="11"/>
      <c r="C677" s="11"/>
      <c r="D677" s="11"/>
      <c r="E677" s="11"/>
      <c r="F677" s="11"/>
      <c r="G677" s="11"/>
    </row>
    <row r="678">
      <c r="A678" s="11"/>
      <c r="B678" s="11"/>
      <c r="C678" s="11"/>
      <c r="D678" s="11"/>
      <c r="E678" s="11"/>
      <c r="F678" s="11"/>
      <c r="G678" s="11"/>
    </row>
    <row r="679">
      <c r="A679" s="11"/>
      <c r="B679" s="11"/>
      <c r="C679" s="11"/>
      <c r="D679" s="11"/>
      <c r="E679" s="11"/>
      <c r="F679" s="11"/>
      <c r="G679" s="11"/>
    </row>
    <row r="680">
      <c r="A680" s="11"/>
      <c r="B680" s="11"/>
      <c r="C680" s="11"/>
      <c r="D680" s="11"/>
      <c r="E680" s="11"/>
      <c r="F680" s="11"/>
      <c r="G680" s="11"/>
    </row>
    <row r="681">
      <c r="A681" s="11"/>
      <c r="B681" s="11"/>
      <c r="C681" s="11"/>
      <c r="D681" s="11"/>
      <c r="E681" s="11"/>
      <c r="F681" s="11"/>
      <c r="G681" s="11"/>
    </row>
    <row r="682">
      <c r="A682" s="11"/>
      <c r="B682" s="11"/>
      <c r="C682" s="11"/>
      <c r="D682" s="11"/>
      <c r="E682" s="11"/>
      <c r="F682" s="11"/>
      <c r="G682" s="11"/>
    </row>
    <row r="683">
      <c r="A683" s="11"/>
      <c r="B683" s="11"/>
      <c r="C683" s="11"/>
      <c r="D683" s="11"/>
      <c r="E683" s="11"/>
      <c r="F683" s="11"/>
      <c r="G683" s="11"/>
    </row>
    <row r="684">
      <c r="A684" s="11"/>
      <c r="B684" s="11"/>
      <c r="C684" s="11"/>
      <c r="D684" s="11"/>
      <c r="E684" s="11"/>
      <c r="F684" s="11"/>
      <c r="G684" s="11"/>
    </row>
    <row r="685">
      <c r="A685" s="11"/>
      <c r="B685" s="11"/>
      <c r="C685" s="11"/>
      <c r="D685" s="11"/>
      <c r="E685" s="11"/>
      <c r="F685" s="11"/>
      <c r="G685" s="11"/>
    </row>
    <row r="686">
      <c r="A686" s="11"/>
      <c r="B686" s="11"/>
      <c r="C686" s="11"/>
      <c r="D686" s="11"/>
      <c r="E686" s="11"/>
      <c r="F686" s="11"/>
      <c r="G686" s="11"/>
    </row>
    <row r="687">
      <c r="A687" s="11"/>
      <c r="B687" s="11"/>
      <c r="C687" s="11"/>
      <c r="D687" s="11"/>
      <c r="E687" s="11"/>
      <c r="F687" s="11"/>
      <c r="G687" s="11"/>
    </row>
    <row r="688">
      <c r="A688" s="11"/>
      <c r="B688" s="11"/>
      <c r="C688" s="11"/>
      <c r="D688" s="11"/>
      <c r="E688" s="11"/>
      <c r="F688" s="11"/>
      <c r="G688" s="11"/>
    </row>
    <row r="689">
      <c r="A689" s="11"/>
      <c r="B689" s="11"/>
      <c r="C689" s="11"/>
      <c r="D689" s="11"/>
      <c r="E689" s="11"/>
      <c r="F689" s="11"/>
      <c r="G689" s="11"/>
    </row>
    <row r="690">
      <c r="A690" s="11"/>
      <c r="B690" s="11"/>
      <c r="C690" s="11"/>
      <c r="D690" s="11"/>
      <c r="E690" s="11"/>
      <c r="F690" s="11"/>
      <c r="G690" s="11"/>
    </row>
    <row r="691">
      <c r="A691" s="11"/>
      <c r="B691" s="11"/>
      <c r="C691" s="11"/>
      <c r="D691" s="11"/>
      <c r="E691" s="11"/>
      <c r="F691" s="11"/>
      <c r="G691" s="11"/>
    </row>
    <row r="692">
      <c r="A692" s="11"/>
      <c r="B692" s="11"/>
      <c r="C692" s="11"/>
      <c r="D692" s="11"/>
      <c r="E692" s="11"/>
      <c r="F692" s="11"/>
      <c r="G692" s="11"/>
    </row>
    <row r="693">
      <c r="A693" s="11"/>
      <c r="B693" s="11"/>
      <c r="C693" s="11"/>
      <c r="D693" s="11"/>
      <c r="E693" s="11"/>
      <c r="F693" s="11"/>
      <c r="G693" s="11"/>
    </row>
    <row r="694">
      <c r="A694" s="11"/>
      <c r="B694" s="11"/>
      <c r="C694" s="11"/>
      <c r="D694" s="11"/>
      <c r="E694" s="11"/>
      <c r="F694" s="11"/>
      <c r="G694" s="11"/>
    </row>
    <row r="695">
      <c r="A695" s="11"/>
      <c r="B695" s="11"/>
      <c r="C695" s="11"/>
      <c r="D695" s="11"/>
      <c r="E695" s="11"/>
      <c r="F695" s="11"/>
      <c r="G695" s="11"/>
    </row>
    <row r="696">
      <c r="A696" s="11"/>
      <c r="B696" s="11"/>
      <c r="C696" s="11"/>
      <c r="D696" s="11"/>
      <c r="E696" s="11"/>
      <c r="F696" s="11"/>
      <c r="G696" s="11"/>
    </row>
    <row r="697">
      <c r="A697" s="11"/>
      <c r="B697" s="11"/>
      <c r="C697" s="11"/>
      <c r="D697" s="11"/>
      <c r="E697" s="11"/>
      <c r="F697" s="11"/>
      <c r="G697" s="11"/>
    </row>
    <row r="698">
      <c r="A698" s="11"/>
      <c r="B698" s="11"/>
      <c r="C698" s="11"/>
      <c r="D698" s="11"/>
      <c r="E698" s="11"/>
      <c r="F698" s="11"/>
      <c r="G698" s="11"/>
    </row>
    <row r="699">
      <c r="A699" s="11"/>
      <c r="B699" s="11"/>
      <c r="C699" s="11"/>
      <c r="D699" s="11"/>
      <c r="E699" s="11"/>
      <c r="F699" s="11"/>
      <c r="G699" s="11"/>
    </row>
    <row r="700">
      <c r="A700" s="11"/>
      <c r="B700" s="11"/>
      <c r="C700" s="11"/>
      <c r="D700" s="11"/>
      <c r="E700" s="11"/>
      <c r="F700" s="11"/>
      <c r="G700" s="11"/>
    </row>
    <row r="701">
      <c r="A701" s="11"/>
      <c r="B701" s="11"/>
      <c r="C701" s="11"/>
      <c r="D701" s="11"/>
      <c r="E701" s="11"/>
      <c r="F701" s="11"/>
      <c r="G701" s="11"/>
    </row>
    <row r="702">
      <c r="A702" s="11"/>
      <c r="B702" s="11"/>
      <c r="C702" s="11"/>
      <c r="D702" s="11"/>
      <c r="E702" s="11"/>
      <c r="F702" s="11"/>
      <c r="G702" s="11"/>
    </row>
    <row r="703">
      <c r="A703" s="11"/>
      <c r="B703" s="11"/>
      <c r="C703" s="11"/>
      <c r="D703" s="11"/>
      <c r="E703" s="11"/>
      <c r="F703" s="11"/>
      <c r="G703" s="11"/>
    </row>
    <row r="704">
      <c r="A704" s="11"/>
      <c r="B704" s="11"/>
      <c r="C704" s="11"/>
      <c r="D704" s="11"/>
      <c r="E704" s="11"/>
      <c r="F704" s="11"/>
      <c r="G704" s="11"/>
    </row>
    <row r="705">
      <c r="A705" s="11"/>
      <c r="B705" s="11"/>
      <c r="C705" s="11"/>
      <c r="D705" s="11"/>
      <c r="E705" s="11"/>
      <c r="F705" s="11"/>
      <c r="G705" s="11"/>
    </row>
    <row r="706">
      <c r="A706" s="11"/>
      <c r="B706" s="11"/>
      <c r="C706" s="11"/>
      <c r="D706" s="11"/>
      <c r="E706" s="11"/>
      <c r="F706" s="11"/>
      <c r="G706" s="11"/>
    </row>
    <row r="707">
      <c r="A707" s="11"/>
      <c r="B707" s="11"/>
      <c r="C707" s="11"/>
      <c r="D707" s="11"/>
      <c r="E707" s="11"/>
      <c r="F707" s="11"/>
      <c r="G707" s="11"/>
    </row>
    <row r="708">
      <c r="A708" s="11"/>
      <c r="B708" s="11"/>
      <c r="C708" s="11"/>
      <c r="D708" s="11"/>
      <c r="E708" s="11"/>
      <c r="F708" s="11"/>
      <c r="G708" s="11"/>
    </row>
    <row r="709">
      <c r="A709" s="11"/>
      <c r="B709" s="11"/>
      <c r="C709" s="11"/>
      <c r="D709" s="11"/>
      <c r="E709" s="11"/>
      <c r="F709" s="11"/>
      <c r="G709" s="11"/>
    </row>
    <row r="710">
      <c r="A710" s="11"/>
      <c r="B710" s="11"/>
      <c r="C710" s="11"/>
      <c r="D710" s="11"/>
      <c r="E710" s="11"/>
      <c r="F710" s="11"/>
      <c r="G710" s="11"/>
    </row>
    <row r="711">
      <c r="A711" s="11"/>
      <c r="B711" s="11"/>
      <c r="C711" s="11"/>
      <c r="D711" s="11"/>
      <c r="E711" s="11"/>
      <c r="F711" s="11"/>
      <c r="G711" s="11"/>
    </row>
    <row r="712">
      <c r="A712" s="11"/>
      <c r="B712" s="11"/>
      <c r="C712" s="11"/>
      <c r="D712" s="11"/>
      <c r="E712" s="11"/>
      <c r="F712" s="11"/>
      <c r="G712" s="11"/>
    </row>
    <row r="713">
      <c r="A713" s="11"/>
      <c r="B713" s="11"/>
      <c r="C713" s="11"/>
      <c r="D713" s="11"/>
      <c r="E713" s="11"/>
      <c r="F713" s="11"/>
      <c r="G713" s="11"/>
    </row>
    <row r="714">
      <c r="A714" s="11"/>
      <c r="B714" s="11"/>
      <c r="C714" s="11"/>
      <c r="D714" s="11"/>
      <c r="E714" s="11"/>
      <c r="F714" s="11"/>
      <c r="G714" s="11"/>
    </row>
    <row r="715">
      <c r="A715" s="11"/>
      <c r="B715" s="11"/>
      <c r="C715" s="11"/>
      <c r="D715" s="11"/>
      <c r="E715" s="11"/>
      <c r="F715" s="11"/>
      <c r="G715" s="11"/>
    </row>
    <row r="716">
      <c r="A716" s="11"/>
      <c r="B716" s="11"/>
      <c r="C716" s="11"/>
      <c r="D716" s="11"/>
      <c r="E716" s="11"/>
      <c r="F716" s="11"/>
      <c r="G716" s="11"/>
    </row>
    <row r="717">
      <c r="A717" s="11"/>
      <c r="B717" s="11"/>
      <c r="C717" s="11"/>
      <c r="D717" s="11"/>
      <c r="E717" s="11"/>
      <c r="F717" s="11"/>
      <c r="G717" s="11"/>
    </row>
    <row r="718">
      <c r="A718" s="11"/>
      <c r="B718" s="11"/>
      <c r="C718" s="11"/>
      <c r="D718" s="11"/>
      <c r="E718" s="11"/>
      <c r="F718" s="11"/>
      <c r="G718" s="11"/>
    </row>
    <row r="719">
      <c r="A719" s="11"/>
      <c r="B719" s="11"/>
      <c r="C719" s="11"/>
      <c r="D719" s="11"/>
      <c r="E719" s="11"/>
      <c r="F719" s="11"/>
      <c r="G719" s="11"/>
    </row>
    <row r="720">
      <c r="A720" s="11"/>
      <c r="B720" s="11"/>
      <c r="C720" s="11"/>
      <c r="D720" s="11"/>
      <c r="E720" s="11"/>
      <c r="F720" s="11"/>
      <c r="G720" s="11"/>
    </row>
    <row r="721">
      <c r="A721" s="11"/>
      <c r="B721" s="11"/>
      <c r="C721" s="11"/>
      <c r="D721" s="11"/>
      <c r="E721" s="11"/>
      <c r="F721" s="11"/>
      <c r="G721" s="11"/>
    </row>
    <row r="722">
      <c r="A722" s="11"/>
      <c r="B722" s="11"/>
      <c r="C722" s="11"/>
      <c r="D722" s="11"/>
      <c r="E722" s="11"/>
      <c r="F722" s="11"/>
      <c r="G722" s="11"/>
    </row>
    <row r="723">
      <c r="A723" s="11"/>
      <c r="B723" s="11"/>
      <c r="C723" s="11"/>
      <c r="D723" s="11"/>
      <c r="E723" s="11"/>
      <c r="F723" s="11"/>
      <c r="G723" s="11"/>
    </row>
    <row r="724">
      <c r="A724" s="11"/>
      <c r="B724" s="11"/>
      <c r="C724" s="11"/>
      <c r="D724" s="11"/>
      <c r="E724" s="11"/>
      <c r="F724" s="11"/>
      <c r="G724" s="11"/>
    </row>
    <row r="725">
      <c r="A725" s="11"/>
      <c r="B725" s="11"/>
      <c r="C725" s="11"/>
      <c r="D725" s="11"/>
      <c r="E725" s="11"/>
      <c r="F725" s="11"/>
      <c r="G725" s="11"/>
    </row>
    <row r="726">
      <c r="A726" s="11"/>
      <c r="B726" s="11"/>
      <c r="C726" s="11"/>
      <c r="D726" s="11"/>
      <c r="E726" s="11"/>
      <c r="F726" s="11"/>
      <c r="G726" s="11"/>
    </row>
    <row r="727">
      <c r="A727" s="11"/>
      <c r="B727" s="11"/>
      <c r="C727" s="11"/>
      <c r="D727" s="11"/>
      <c r="E727" s="11"/>
      <c r="F727" s="11"/>
      <c r="G727" s="11"/>
    </row>
    <row r="728">
      <c r="A728" s="11"/>
      <c r="B728" s="11"/>
      <c r="C728" s="11"/>
      <c r="D728" s="11"/>
      <c r="E728" s="11"/>
      <c r="F728" s="11"/>
      <c r="G728" s="11"/>
    </row>
    <row r="729">
      <c r="A729" s="11"/>
      <c r="B729" s="11"/>
      <c r="C729" s="11"/>
      <c r="D729" s="11"/>
      <c r="E729" s="11"/>
      <c r="F729" s="11"/>
      <c r="G729" s="11"/>
    </row>
    <row r="730">
      <c r="A730" s="11"/>
      <c r="B730" s="11"/>
      <c r="C730" s="11"/>
      <c r="D730" s="11"/>
      <c r="E730" s="11"/>
      <c r="F730" s="11"/>
      <c r="G730" s="11"/>
    </row>
    <row r="731">
      <c r="A731" s="11"/>
      <c r="B731" s="11"/>
      <c r="C731" s="11"/>
      <c r="D731" s="11"/>
      <c r="E731" s="11"/>
      <c r="F731" s="11"/>
      <c r="G731" s="11"/>
    </row>
    <row r="732">
      <c r="A732" s="11"/>
      <c r="B732" s="11"/>
      <c r="C732" s="11"/>
      <c r="D732" s="11"/>
      <c r="E732" s="11"/>
      <c r="F732" s="11"/>
      <c r="G732" s="11"/>
    </row>
    <row r="733">
      <c r="A733" s="11"/>
      <c r="B733" s="11"/>
      <c r="C733" s="11"/>
      <c r="D733" s="11"/>
      <c r="E733" s="11"/>
      <c r="F733" s="11"/>
      <c r="G733" s="11"/>
    </row>
    <row r="734">
      <c r="A734" s="11"/>
      <c r="B734" s="11"/>
      <c r="C734" s="11"/>
      <c r="D734" s="11"/>
      <c r="E734" s="11"/>
      <c r="F734" s="11"/>
      <c r="G734" s="11"/>
    </row>
    <row r="735">
      <c r="A735" s="11"/>
      <c r="B735" s="11"/>
      <c r="C735" s="11"/>
      <c r="D735" s="11"/>
      <c r="E735" s="11"/>
      <c r="F735" s="11"/>
      <c r="G735" s="11"/>
    </row>
    <row r="736">
      <c r="A736" s="11"/>
      <c r="B736" s="11"/>
      <c r="C736" s="11"/>
      <c r="D736" s="11"/>
      <c r="E736" s="11"/>
      <c r="F736" s="11"/>
      <c r="G736" s="11"/>
    </row>
    <row r="737">
      <c r="A737" s="11"/>
      <c r="B737" s="11"/>
      <c r="C737" s="11"/>
      <c r="D737" s="11"/>
      <c r="E737" s="11"/>
      <c r="F737" s="11"/>
      <c r="G737" s="11"/>
    </row>
    <row r="738">
      <c r="A738" s="11"/>
      <c r="B738" s="11"/>
      <c r="C738" s="11"/>
      <c r="D738" s="11"/>
      <c r="E738" s="11"/>
      <c r="F738" s="11"/>
      <c r="G738" s="11"/>
    </row>
    <row r="739">
      <c r="A739" s="11"/>
      <c r="B739" s="11"/>
      <c r="C739" s="11"/>
      <c r="D739" s="11"/>
      <c r="E739" s="11"/>
      <c r="F739" s="11"/>
      <c r="G739" s="11"/>
    </row>
    <row r="740">
      <c r="A740" s="11"/>
      <c r="B740" s="11"/>
      <c r="C740" s="11"/>
      <c r="D740" s="11"/>
      <c r="E740" s="11"/>
      <c r="F740" s="11"/>
      <c r="G740" s="11"/>
    </row>
    <row r="741">
      <c r="A741" s="11"/>
      <c r="B741" s="11"/>
      <c r="C741" s="11"/>
      <c r="D741" s="11"/>
      <c r="E741" s="11"/>
      <c r="F741" s="11"/>
      <c r="G741" s="11"/>
    </row>
    <row r="742">
      <c r="A742" s="11"/>
      <c r="B742" s="11"/>
      <c r="C742" s="11"/>
      <c r="D742" s="11"/>
      <c r="E742" s="11"/>
      <c r="F742" s="11"/>
      <c r="G742" s="11"/>
    </row>
    <row r="743">
      <c r="A743" s="11"/>
      <c r="B743" s="11"/>
      <c r="C743" s="11"/>
      <c r="D743" s="11"/>
      <c r="E743" s="11"/>
      <c r="F743" s="11"/>
      <c r="G743" s="11"/>
    </row>
    <row r="744">
      <c r="A744" s="11"/>
      <c r="B744" s="11"/>
      <c r="C744" s="11"/>
      <c r="D744" s="11"/>
      <c r="E744" s="11"/>
      <c r="F744" s="11"/>
      <c r="G744" s="11"/>
    </row>
    <row r="745">
      <c r="A745" s="11"/>
      <c r="B745" s="11"/>
      <c r="C745" s="11"/>
      <c r="D745" s="11"/>
      <c r="E745" s="11"/>
      <c r="F745" s="11"/>
      <c r="G745" s="11"/>
    </row>
    <row r="746">
      <c r="A746" s="11"/>
      <c r="B746" s="11"/>
      <c r="C746" s="11"/>
      <c r="D746" s="11"/>
      <c r="E746" s="11"/>
      <c r="F746" s="11"/>
      <c r="G746" s="11"/>
    </row>
    <row r="747">
      <c r="A747" s="11"/>
      <c r="B747" s="11"/>
      <c r="C747" s="11"/>
      <c r="D747" s="11"/>
      <c r="E747" s="11"/>
      <c r="F747" s="11"/>
      <c r="G747" s="11"/>
    </row>
    <row r="748">
      <c r="A748" s="11"/>
      <c r="B748" s="11"/>
      <c r="C748" s="11"/>
      <c r="D748" s="11"/>
      <c r="E748" s="11"/>
      <c r="F748" s="11"/>
      <c r="G748" s="11"/>
    </row>
    <row r="749">
      <c r="A749" s="11"/>
      <c r="B749" s="11"/>
      <c r="C749" s="11"/>
      <c r="D749" s="11"/>
      <c r="E749" s="11"/>
      <c r="F749" s="11"/>
      <c r="G749" s="11"/>
    </row>
    <row r="750">
      <c r="A750" s="11"/>
      <c r="B750" s="11"/>
      <c r="C750" s="11"/>
      <c r="D750" s="11"/>
      <c r="E750" s="11"/>
      <c r="F750" s="11"/>
      <c r="G750" s="11"/>
    </row>
    <row r="751">
      <c r="A751" s="11"/>
      <c r="B751" s="11"/>
      <c r="C751" s="11"/>
      <c r="D751" s="11"/>
      <c r="E751" s="11"/>
      <c r="F751" s="11"/>
      <c r="G751" s="11"/>
    </row>
    <row r="752">
      <c r="A752" s="11"/>
      <c r="B752" s="11"/>
      <c r="C752" s="11"/>
      <c r="D752" s="11"/>
      <c r="E752" s="11"/>
      <c r="F752" s="11"/>
      <c r="G752" s="11"/>
    </row>
    <row r="753">
      <c r="A753" s="11"/>
      <c r="B753" s="11"/>
      <c r="C753" s="11"/>
      <c r="D753" s="11"/>
      <c r="E753" s="11"/>
      <c r="F753" s="11"/>
      <c r="G753" s="11"/>
    </row>
    <row r="754">
      <c r="A754" s="11"/>
      <c r="B754" s="11"/>
      <c r="C754" s="11"/>
      <c r="D754" s="11"/>
      <c r="E754" s="11"/>
      <c r="F754" s="11"/>
      <c r="G754" s="11"/>
    </row>
    <row r="755">
      <c r="A755" s="11"/>
      <c r="B755" s="11"/>
      <c r="C755" s="11"/>
      <c r="D755" s="11"/>
      <c r="E755" s="11"/>
      <c r="F755" s="11"/>
      <c r="G755" s="11"/>
    </row>
    <row r="756">
      <c r="A756" s="11"/>
      <c r="B756" s="11"/>
      <c r="C756" s="11"/>
      <c r="D756" s="11"/>
      <c r="E756" s="11"/>
      <c r="F756" s="11"/>
      <c r="G756" s="11"/>
    </row>
    <row r="757">
      <c r="A757" s="11"/>
      <c r="B757" s="11"/>
      <c r="C757" s="11"/>
      <c r="D757" s="11"/>
      <c r="E757" s="11"/>
      <c r="F757" s="11"/>
      <c r="G757" s="11"/>
    </row>
    <row r="758">
      <c r="A758" s="11"/>
      <c r="B758" s="11"/>
      <c r="C758" s="11"/>
      <c r="D758" s="11"/>
      <c r="E758" s="11"/>
      <c r="F758" s="11"/>
      <c r="G758" s="11"/>
    </row>
    <row r="759">
      <c r="A759" s="11"/>
      <c r="B759" s="11"/>
      <c r="C759" s="11"/>
      <c r="D759" s="11"/>
      <c r="E759" s="11"/>
      <c r="F759" s="11"/>
      <c r="G759" s="11"/>
    </row>
    <row r="760">
      <c r="A760" s="11"/>
      <c r="B760" s="11"/>
      <c r="C760" s="11"/>
      <c r="D760" s="11"/>
      <c r="E760" s="11"/>
      <c r="F760" s="11"/>
      <c r="G760" s="11"/>
    </row>
    <row r="761">
      <c r="A761" s="11"/>
      <c r="B761" s="11"/>
      <c r="C761" s="11"/>
      <c r="D761" s="11"/>
      <c r="E761" s="11"/>
      <c r="F761" s="11"/>
      <c r="G761" s="11"/>
    </row>
    <row r="762">
      <c r="A762" s="11"/>
      <c r="B762" s="11"/>
      <c r="C762" s="11"/>
      <c r="D762" s="11"/>
      <c r="E762" s="11"/>
      <c r="F762" s="11"/>
      <c r="G762" s="11"/>
    </row>
    <row r="763">
      <c r="A763" s="11"/>
      <c r="B763" s="11"/>
      <c r="C763" s="11"/>
      <c r="D763" s="11"/>
      <c r="E763" s="11"/>
      <c r="F763" s="11"/>
      <c r="G763" s="11"/>
    </row>
    <row r="764">
      <c r="A764" s="11"/>
      <c r="B764" s="11"/>
      <c r="C764" s="11"/>
      <c r="D764" s="11"/>
      <c r="E764" s="11"/>
      <c r="F764" s="11"/>
      <c r="G764" s="11"/>
    </row>
    <row r="765">
      <c r="A765" s="11"/>
      <c r="B765" s="11"/>
      <c r="C765" s="11"/>
      <c r="D765" s="11"/>
      <c r="E765" s="11"/>
      <c r="F765" s="11"/>
      <c r="G765" s="11"/>
    </row>
    <row r="766">
      <c r="A766" s="11"/>
      <c r="B766" s="11"/>
      <c r="C766" s="11"/>
      <c r="D766" s="11"/>
      <c r="E766" s="11"/>
      <c r="F766" s="11"/>
      <c r="G766" s="11"/>
    </row>
    <row r="767">
      <c r="A767" s="11"/>
      <c r="B767" s="11"/>
      <c r="C767" s="11"/>
      <c r="D767" s="11"/>
      <c r="E767" s="11"/>
      <c r="F767" s="11"/>
      <c r="G767" s="11"/>
    </row>
    <row r="768">
      <c r="A768" s="11"/>
      <c r="B768" s="11"/>
      <c r="C768" s="11"/>
      <c r="D768" s="11"/>
      <c r="E768" s="11"/>
      <c r="F768" s="11"/>
      <c r="G768" s="11"/>
    </row>
    <row r="769">
      <c r="A769" s="11"/>
      <c r="B769" s="11"/>
      <c r="C769" s="11"/>
      <c r="D769" s="11"/>
      <c r="E769" s="11"/>
      <c r="F769" s="11"/>
      <c r="G769" s="11"/>
    </row>
    <row r="770">
      <c r="A770" s="11"/>
      <c r="B770" s="11"/>
      <c r="C770" s="11"/>
      <c r="D770" s="11"/>
      <c r="E770" s="11"/>
      <c r="F770" s="11"/>
      <c r="G770" s="11"/>
    </row>
    <row r="771">
      <c r="A771" s="11"/>
      <c r="B771" s="11"/>
      <c r="C771" s="11"/>
      <c r="D771" s="11"/>
      <c r="E771" s="11"/>
      <c r="F771" s="11"/>
      <c r="G771" s="11"/>
    </row>
    <row r="772">
      <c r="A772" s="11"/>
      <c r="B772" s="11"/>
      <c r="C772" s="11"/>
      <c r="D772" s="11"/>
      <c r="E772" s="11"/>
      <c r="F772" s="11"/>
      <c r="G772" s="11"/>
    </row>
    <row r="773">
      <c r="A773" s="11"/>
      <c r="B773" s="11"/>
      <c r="C773" s="11"/>
      <c r="D773" s="11"/>
      <c r="E773" s="11"/>
      <c r="F773" s="11"/>
      <c r="G773" s="11"/>
    </row>
    <row r="774">
      <c r="A774" s="11"/>
      <c r="B774" s="11"/>
      <c r="C774" s="11"/>
      <c r="D774" s="11"/>
      <c r="E774" s="11"/>
      <c r="F774" s="11"/>
      <c r="G774" s="11"/>
    </row>
    <row r="775">
      <c r="A775" s="11"/>
      <c r="B775" s="11"/>
      <c r="C775" s="11"/>
      <c r="D775" s="11"/>
      <c r="E775" s="11"/>
      <c r="F775" s="11"/>
      <c r="G775" s="11"/>
    </row>
    <row r="776">
      <c r="A776" s="11"/>
      <c r="B776" s="11"/>
      <c r="C776" s="11"/>
      <c r="D776" s="11"/>
      <c r="E776" s="11"/>
      <c r="F776" s="11"/>
      <c r="G776" s="11"/>
    </row>
    <row r="777">
      <c r="A777" s="11"/>
      <c r="B777" s="11"/>
      <c r="C777" s="11"/>
      <c r="D777" s="11"/>
      <c r="E777" s="11"/>
      <c r="F777" s="11"/>
      <c r="G777" s="11"/>
    </row>
    <row r="778">
      <c r="A778" s="11"/>
      <c r="B778" s="11"/>
      <c r="C778" s="11"/>
      <c r="D778" s="11"/>
      <c r="E778" s="11"/>
      <c r="F778" s="11"/>
      <c r="G778" s="11"/>
    </row>
    <row r="779">
      <c r="A779" s="11"/>
      <c r="B779" s="11"/>
      <c r="C779" s="11"/>
      <c r="D779" s="11"/>
      <c r="E779" s="11"/>
      <c r="F779" s="11"/>
      <c r="G779" s="11"/>
    </row>
    <row r="780">
      <c r="A780" s="11"/>
      <c r="B780" s="11"/>
      <c r="C780" s="11"/>
      <c r="D780" s="11"/>
      <c r="E780" s="11"/>
      <c r="F780" s="11"/>
      <c r="G780" s="11"/>
    </row>
    <row r="781">
      <c r="A781" s="11"/>
      <c r="B781" s="11"/>
      <c r="C781" s="11"/>
      <c r="D781" s="11"/>
      <c r="E781" s="11"/>
      <c r="F781" s="11"/>
      <c r="G781" s="11"/>
    </row>
    <row r="782">
      <c r="A782" s="11"/>
      <c r="B782" s="11"/>
      <c r="C782" s="11"/>
      <c r="D782" s="11"/>
      <c r="E782" s="11"/>
      <c r="F782" s="11"/>
      <c r="G782" s="11"/>
    </row>
    <row r="783">
      <c r="A783" s="11"/>
      <c r="B783" s="11"/>
      <c r="C783" s="11"/>
      <c r="D783" s="11"/>
      <c r="E783" s="11"/>
      <c r="F783" s="11"/>
      <c r="G783" s="11"/>
    </row>
    <row r="784">
      <c r="A784" s="11"/>
      <c r="B784" s="11"/>
      <c r="C784" s="11"/>
      <c r="D784" s="11"/>
      <c r="E784" s="11"/>
      <c r="F784" s="11"/>
      <c r="G784" s="11"/>
    </row>
    <row r="785">
      <c r="A785" s="11"/>
      <c r="B785" s="11"/>
      <c r="C785" s="11"/>
      <c r="D785" s="11"/>
      <c r="E785" s="11"/>
      <c r="F785" s="11"/>
      <c r="G785" s="11"/>
    </row>
    <row r="786">
      <c r="A786" s="11"/>
      <c r="B786" s="11"/>
      <c r="C786" s="11"/>
      <c r="D786" s="11"/>
      <c r="E786" s="11"/>
      <c r="F786" s="11"/>
      <c r="G786" s="11"/>
    </row>
    <row r="787">
      <c r="A787" s="11"/>
      <c r="B787" s="11"/>
      <c r="C787" s="11"/>
      <c r="D787" s="11"/>
      <c r="E787" s="11"/>
      <c r="F787" s="11"/>
      <c r="G787" s="11"/>
    </row>
    <row r="788">
      <c r="A788" s="11"/>
      <c r="B788" s="11"/>
      <c r="C788" s="11"/>
      <c r="D788" s="11"/>
      <c r="E788" s="11"/>
      <c r="F788" s="11"/>
      <c r="G788" s="11"/>
    </row>
    <row r="789">
      <c r="A789" s="11"/>
      <c r="B789" s="11"/>
      <c r="C789" s="11"/>
      <c r="D789" s="11"/>
      <c r="E789" s="11"/>
      <c r="F789" s="11"/>
      <c r="G789" s="11"/>
    </row>
    <row r="790">
      <c r="A790" s="11"/>
      <c r="B790" s="11"/>
      <c r="C790" s="11"/>
      <c r="D790" s="11"/>
      <c r="E790" s="11"/>
      <c r="F790" s="11"/>
      <c r="G790" s="11"/>
    </row>
    <row r="791">
      <c r="A791" s="11"/>
      <c r="B791" s="11"/>
      <c r="C791" s="11"/>
      <c r="D791" s="11"/>
      <c r="E791" s="11"/>
      <c r="F791" s="11"/>
      <c r="G791" s="11"/>
    </row>
    <row r="792">
      <c r="A792" s="11"/>
      <c r="B792" s="11"/>
      <c r="C792" s="11"/>
      <c r="D792" s="11"/>
      <c r="E792" s="11"/>
      <c r="F792" s="11"/>
      <c r="G792" s="11"/>
    </row>
    <row r="793">
      <c r="A793" s="11"/>
      <c r="B793" s="11"/>
      <c r="C793" s="11"/>
      <c r="D793" s="11"/>
      <c r="E793" s="11"/>
      <c r="F793" s="11"/>
      <c r="G793" s="11"/>
    </row>
    <row r="794">
      <c r="A794" s="11"/>
      <c r="B794" s="11"/>
      <c r="C794" s="11"/>
      <c r="D794" s="11"/>
      <c r="E794" s="11"/>
      <c r="F794" s="11"/>
      <c r="G794" s="11"/>
    </row>
    <row r="795">
      <c r="A795" s="11"/>
      <c r="B795" s="11"/>
      <c r="C795" s="11"/>
      <c r="D795" s="11"/>
      <c r="E795" s="11"/>
      <c r="F795" s="11"/>
      <c r="G795" s="11"/>
    </row>
    <row r="796">
      <c r="A796" s="11"/>
      <c r="B796" s="11"/>
      <c r="C796" s="11"/>
      <c r="D796" s="11"/>
      <c r="E796" s="11"/>
      <c r="F796" s="11"/>
      <c r="G796" s="11"/>
    </row>
    <row r="797">
      <c r="A797" s="11"/>
      <c r="B797" s="11"/>
      <c r="C797" s="11"/>
      <c r="D797" s="11"/>
      <c r="E797" s="11"/>
      <c r="F797" s="11"/>
      <c r="G797" s="11"/>
    </row>
    <row r="798">
      <c r="A798" s="11"/>
      <c r="B798" s="11"/>
      <c r="C798" s="11"/>
      <c r="D798" s="11"/>
      <c r="E798" s="11"/>
      <c r="F798" s="11"/>
      <c r="G798" s="11"/>
    </row>
    <row r="799">
      <c r="A799" s="11"/>
      <c r="B799" s="11"/>
      <c r="C799" s="11"/>
      <c r="D799" s="11"/>
      <c r="E799" s="11"/>
      <c r="F799" s="11"/>
      <c r="G799" s="11"/>
    </row>
    <row r="800">
      <c r="A800" s="11"/>
      <c r="B800" s="11"/>
      <c r="C800" s="11"/>
      <c r="D800" s="11"/>
      <c r="E800" s="11"/>
      <c r="F800" s="11"/>
      <c r="G800" s="11"/>
    </row>
    <row r="801">
      <c r="A801" s="11"/>
      <c r="B801" s="11"/>
      <c r="C801" s="11"/>
      <c r="D801" s="11"/>
      <c r="E801" s="11"/>
      <c r="F801" s="11"/>
      <c r="G801" s="11"/>
    </row>
    <row r="802">
      <c r="A802" s="11"/>
      <c r="B802" s="11"/>
      <c r="C802" s="11"/>
      <c r="D802" s="11"/>
      <c r="E802" s="11"/>
      <c r="F802" s="11"/>
      <c r="G802" s="11"/>
    </row>
    <row r="803">
      <c r="A803" s="11"/>
      <c r="B803" s="11"/>
      <c r="C803" s="11"/>
      <c r="D803" s="11"/>
      <c r="E803" s="11"/>
      <c r="F803" s="11"/>
      <c r="G803" s="11"/>
    </row>
    <row r="804">
      <c r="A804" s="11"/>
      <c r="B804" s="11"/>
      <c r="C804" s="11"/>
      <c r="D804" s="11"/>
      <c r="E804" s="11"/>
      <c r="F804" s="11"/>
      <c r="G804" s="11"/>
    </row>
    <row r="805">
      <c r="A805" s="11"/>
      <c r="B805" s="11"/>
      <c r="C805" s="11"/>
      <c r="D805" s="11"/>
      <c r="E805" s="11"/>
      <c r="F805" s="11"/>
      <c r="G805" s="11"/>
    </row>
    <row r="806">
      <c r="A806" s="11"/>
      <c r="B806" s="11"/>
      <c r="C806" s="11"/>
      <c r="D806" s="11"/>
      <c r="E806" s="11"/>
      <c r="F806" s="11"/>
      <c r="G806" s="11"/>
    </row>
    <row r="807">
      <c r="A807" s="11"/>
      <c r="B807" s="11"/>
      <c r="C807" s="11"/>
      <c r="D807" s="11"/>
      <c r="E807" s="11"/>
      <c r="F807" s="11"/>
      <c r="G807" s="11"/>
    </row>
    <row r="808">
      <c r="A808" s="11"/>
      <c r="B808" s="11"/>
      <c r="C808" s="11"/>
      <c r="D808" s="11"/>
      <c r="E808" s="11"/>
      <c r="F808" s="11"/>
      <c r="G808" s="11"/>
    </row>
    <row r="809">
      <c r="A809" s="11"/>
      <c r="B809" s="11"/>
      <c r="C809" s="11"/>
      <c r="D809" s="11"/>
      <c r="E809" s="11"/>
      <c r="F809" s="11"/>
      <c r="G809" s="11"/>
    </row>
    <row r="810">
      <c r="A810" s="11"/>
      <c r="B810" s="11"/>
      <c r="C810" s="11"/>
      <c r="D810" s="11"/>
      <c r="E810" s="11"/>
      <c r="F810" s="11"/>
      <c r="G810" s="11"/>
    </row>
    <row r="811">
      <c r="A811" s="11"/>
      <c r="B811" s="11"/>
      <c r="C811" s="11"/>
      <c r="D811" s="11"/>
      <c r="E811" s="11"/>
      <c r="F811" s="11"/>
      <c r="G811" s="11"/>
    </row>
    <row r="812">
      <c r="A812" s="11"/>
      <c r="B812" s="11"/>
      <c r="C812" s="11"/>
      <c r="D812" s="11"/>
      <c r="E812" s="11"/>
      <c r="F812" s="11"/>
      <c r="G812" s="11"/>
    </row>
    <row r="813">
      <c r="A813" s="11"/>
      <c r="B813" s="11"/>
      <c r="C813" s="11"/>
      <c r="D813" s="11"/>
      <c r="E813" s="11"/>
      <c r="F813" s="11"/>
      <c r="G813" s="11"/>
    </row>
    <row r="814">
      <c r="A814" s="11"/>
      <c r="B814" s="11"/>
      <c r="C814" s="11"/>
      <c r="D814" s="11"/>
      <c r="E814" s="11"/>
      <c r="F814" s="11"/>
      <c r="G814" s="11"/>
    </row>
    <row r="815">
      <c r="A815" s="11"/>
      <c r="B815" s="11"/>
      <c r="C815" s="11"/>
      <c r="D815" s="11"/>
      <c r="E815" s="11"/>
      <c r="F815" s="11"/>
      <c r="G815" s="11"/>
    </row>
    <row r="816">
      <c r="A816" s="11"/>
      <c r="B816" s="11"/>
      <c r="C816" s="11"/>
      <c r="D816" s="11"/>
      <c r="E816" s="11"/>
      <c r="F816" s="11"/>
      <c r="G816" s="11"/>
    </row>
    <row r="817">
      <c r="A817" s="11"/>
      <c r="B817" s="11"/>
      <c r="C817" s="11"/>
      <c r="D817" s="11"/>
      <c r="E817" s="11"/>
      <c r="F817" s="11"/>
      <c r="G817" s="11"/>
    </row>
    <row r="818">
      <c r="A818" s="11"/>
      <c r="B818" s="11"/>
      <c r="C818" s="11"/>
      <c r="D818" s="11"/>
      <c r="E818" s="11"/>
      <c r="F818" s="11"/>
      <c r="G818" s="11"/>
    </row>
    <row r="819">
      <c r="A819" s="11"/>
      <c r="B819" s="11"/>
      <c r="C819" s="11"/>
      <c r="D819" s="11"/>
      <c r="E819" s="11"/>
      <c r="F819" s="11"/>
      <c r="G819" s="11"/>
    </row>
    <row r="820">
      <c r="A820" s="11"/>
      <c r="B820" s="11"/>
      <c r="C820" s="11"/>
      <c r="D820" s="11"/>
      <c r="E820" s="11"/>
      <c r="F820" s="11"/>
      <c r="G820" s="11"/>
    </row>
    <row r="821">
      <c r="A821" s="11"/>
      <c r="B821" s="11"/>
      <c r="C821" s="11"/>
      <c r="D821" s="11"/>
      <c r="E821" s="11"/>
      <c r="F821" s="11"/>
      <c r="G821" s="11"/>
    </row>
    <row r="822">
      <c r="A822" s="11"/>
      <c r="B822" s="11"/>
      <c r="C822" s="11"/>
      <c r="D822" s="11"/>
      <c r="E822" s="11"/>
      <c r="F822" s="11"/>
      <c r="G822" s="11"/>
    </row>
    <row r="823">
      <c r="A823" s="11"/>
      <c r="B823" s="11"/>
      <c r="C823" s="11"/>
      <c r="D823" s="11"/>
      <c r="E823" s="11"/>
      <c r="F823" s="11"/>
      <c r="G823" s="11"/>
    </row>
    <row r="824">
      <c r="A824" s="11"/>
      <c r="B824" s="11"/>
      <c r="C824" s="11"/>
      <c r="D824" s="11"/>
      <c r="E824" s="11"/>
      <c r="F824" s="11"/>
      <c r="G824" s="11"/>
    </row>
    <row r="825">
      <c r="A825" s="11"/>
      <c r="B825" s="11"/>
      <c r="C825" s="11"/>
      <c r="D825" s="11"/>
      <c r="E825" s="11"/>
      <c r="F825" s="11"/>
      <c r="G825" s="11"/>
    </row>
    <row r="826">
      <c r="A826" s="11"/>
      <c r="B826" s="11"/>
      <c r="C826" s="11"/>
      <c r="D826" s="11"/>
      <c r="E826" s="11"/>
      <c r="F826" s="11"/>
      <c r="G826" s="11"/>
    </row>
    <row r="827">
      <c r="A827" s="11"/>
      <c r="B827" s="11"/>
      <c r="C827" s="11"/>
      <c r="D827" s="11"/>
      <c r="E827" s="11"/>
      <c r="F827" s="11"/>
      <c r="G827" s="11"/>
    </row>
    <row r="828">
      <c r="A828" s="11"/>
      <c r="B828" s="11"/>
      <c r="C828" s="11"/>
      <c r="D828" s="11"/>
      <c r="E828" s="11"/>
      <c r="F828" s="11"/>
      <c r="G828" s="11"/>
    </row>
    <row r="829">
      <c r="A829" s="11"/>
      <c r="B829" s="11"/>
      <c r="C829" s="11"/>
      <c r="D829" s="11"/>
      <c r="E829" s="11"/>
      <c r="F829" s="11"/>
      <c r="G829" s="11"/>
    </row>
    <row r="830">
      <c r="A830" s="11"/>
      <c r="B830" s="11"/>
      <c r="C830" s="11"/>
      <c r="D830" s="11"/>
      <c r="E830" s="11"/>
      <c r="F830" s="11"/>
      <c r="G830" s="11"/>
    </row>
    <row r="831">
      <c r="A831" s="11"/>
      <c r="B831" s="11"/>
      <c r="C831" s="11"/>
      <c r="D831" s="11"/>
      <c r="E831" s="11"/>
      <c r="F831" s="11"/>
      <c r="G831" s="11"/>
    </row>
    <row r="832">
      <c r="A832" s="11"/>
      <c r="B832" s="11"/>
      <c r="C832" s="11"/>
      <c r="D832" s="11"/>
      <c r="E832" s="11"/>
      <c r="F832" s="11"/>
      <c r="G832" s="11"/>
    </row>
    <row r="833">
      <c r="A833" s="11"/>
      <c r="B833" s="11"/>
      <c r="C833" s="11"/>
      <c r="D833" s="11"/>
      <c r="E833" s="11"/>
      <c r="F833" s="11"/>
      <c r="G833" s="11"/>
    </row>
    <row r="834">
      <c r="A834" s="11"/>
      <c r="B834" s="11"/>
      <c r="C834" s="11"/>
      <c r="D834" s="11"/>
      <c r="E834" s="11"/>
      <c r="F834" s="11"/>
      <c r="G834" s="11"/>
    </row>
    <row r="835">
      <c r="A835" s="11"/>
      <c r="B835" s="11"/>
      <c r="C835" s="11"/>
      <c r="D835" s="11"/>
      <c r="E835" s="11"/>
      <c r="F835" s="11"/>
      <c r="G835" s="11"/>
    </row>
    <row r="836">
      <c r="A836" s="11"/>
      <c r="B836" s="11"/>
      <c r="C836" s="11"/>
      <c r="D836" s="11"/>
      <c r="E836" s="11"/>
      <c r="F836" s="11"/>
      <c r="G836" s="11"/>
    </row>
    <row r="837">
      <c r="A837" s="11"/>
      <c r="B837" s="11"/>
      <c r="C837" s="11"/>
      <c r="D837" s="11"/>
      <c r="E837" s="11"/>
      <c r="F837" s="11"/>
      <c r="G837" s="11"/>
    </row>
    <row r="838">
      <c r="A838" s="11"/>
      <c r="B838" s="11"/>
      <c r="C838" s="11"/>
      <c r="D838" s="11"/>
      <c r="E838" s="11"/>
      <c r="F838" s="11"/>
      <c r="G838" s="11"/>
    </row>
    <row r="839">
      <c r="A839" s="11"/>
      <c r="B839" s="11"/>
      <c r="C839" s="11"/>
      <c r="D839" s="11"/>
      <c r="E839" s="11"/>
      <c r="F839" s="11"/>
      <c r="G839" s="11"/>
    </row>
    <row r="840">
      <c r="A840" s="11"/>
      <c r="B840" s="11"/>
      <c r="C840" s="11"/>
      <c r="D840" s="11"/>
      <c r="E840" s="11"/>
      <c r="F840" s="11"/>
      <c r="G840" s="11"/>
    </row>
    <row r="841">
      <c r="A841" s="11"/>
      <c r="B841" s="11"/>
      <c r="C841" s="11"/>
      <c r="D841" s="11"/>
      <c r="E841" s="11"/>
      <c r="F841" s="11"/>
      <c r="G841" s="11"/>
    </row>
    <row r="842">
      <c r="A842" s="11"/>
      <c r="B842" s="11"/>
      <c r="C842" s="11"/>
      <c r="D842" s="11"/>
      <c r="E842" s="11"/>
      <c r="F842" s="11"/>
      <c r="G842" s="11"/>
    </row>
    <row r="843">
      <c r="A843" s="11"/>
      <c r="B843" s="11"/>
      <c r="C843" s="11"/>
      <c r="D843" s="11"/>
      <c r="E843" s="11"/>
      <c r="F843" s="11"/>
      <c r="G843" s="11"/>
    </row>
    <row r="844">
      <c r="A844" s="11"/>
      <c r="B844" s="11"/>
      <c r="C844" s="11"/>
      <c r="D844" s="11"/>
      <c r="E844" s="11"/>
      <c r="F844" s="11"/>
      <c r="G844" s="11"/>
    </row>
    <row r="845">
      <c r="A845" s="11"/>
      <c r="B845" s="11"/>
      <c r="C845" s="11"/>
      <c r="D845" s="11"/>
      <c r="E845" s="11"/>
      <c r="F845" s="11"/>
      <c r="G845" s="11"/>
    </row>
    <row r="846">
      <c r="A846" s="11"/>
      <c r="B846" s="11"/>
      <c r="C846" s="11"/>
      <c r="D846" s="11"/>
      <c r="E846" s="11"/>
      <c r="F846" s="11"/>
      <c r="G846" s="11"/>
    </row>
    <row r="847">
      <c r="A847" s="11"/>
      <c r="B847" s="11"/>
      <c r="C847" s="11"/>
      <c r="D847" s="11"/>
      <c r="E847" s="11"/>
      <c r="F847" s="11"/>
      <c r="G847" s="11"/>
    </row>
    <row r="848">
      <c r="A848" s="11"/>
      <c r="B848" s="11"/>
      <c r="C848" s="11"/>
      <c r="D848" s="11"/>
      <c r="E848" s="11"/>
      <c r="F848" s="11"/>
      <c r="G848" s="11"/>
    </row>
    <row r="849">
      <c r="A849" s="11"/>
      <c r="B849" s="11"/>
      <c r="C849" s="11"/>
      <c r="D849" s="11"/>
      <c r="E849" s="11"/>
      <c r="F849" s="11"/>
      <c r="G849" s="11"/>
    </row>
    <row r="850">
      <c r="A850" s="11"/>
      <c r="B850" s="11"/>
      <c r="C850" s="11"/>
      <c r="D850" s="11"/>
      <c r="E850" s="11"/>
      <c r="F850" s="11"/>
      <c r="G850" s="11"/>
    </row>
    <row r="851">
      <c r="A851" s="11"/>
      <c r="B851" s="11"/>
      <c r="C851" s="11"/>
      <c r="D851" s="11"/>
      <c r="E851" s="11"/>
      <c r="F851" s="11"/>
      <c r="G851" s="11"/>
    </row>
    <row r="852">
      <c r="A852" s="11"/>
      <c r="B852" s="11"/>
      <c r="C852" s="11"/>
      <c r="D852" s="11"/>
      <c r="E852" s="11"/>
      <c r="F852" s="11"/>
      <c r="G852" s="11"/>
    </row>
    <row r="853">
      <c r="A853" s="11"/>
      <c r="B853" s="11"/>
      <c r="C853" s="11"/>
      <c r="D853" s="11"/>
      <c r="E853" s="11"/>
      <c r="F853" s="11"/>
      <c r="G853" s="11"/>
    </row>
    <row r="854">
      <c r="A854" s="11"/>
      <c r="B854" s="11"/>
      <c r="C854" s="11"/>
      <c r="D854" s="11"/>
      <c r="E854" s="11"/>
      <c r="F854" s="11"/>
      <c r="G854" s="11"/>
    </row>
    <row r="855">
      <c r="A855" s="11"/>
      <c r="B855" s="11"/>
      <c r="C855" s="11"/>
      <c r="D855" s="11"/>
      <c r="E855" s="11"/>
      <c r="F855" s="11"/>
      <c r="G855" s="11"/>
    </row>
    <row r="856">
      <c r="A856" s="11"/>
      <c r="B856" s="11"/>
      <c r="C856" s="11"/>
      <c r="D856" s="11"/>
      <c r="E856" s="11"/>
      <c r="F856" s="11"/>
      <c r="G856" s="11"/>
    </row>
    <row r="857">
      <c r="A857" s="11"/>
      <c r="B857" s="11"/>
      <c r="C857" s="11"/>
      <c r="D857" s="11"/>
      <c r="E857" s="11"/>
      <c r="F857" s="11"/>
      <c r="G857" s="11"/>
    </row>
    <row r="858">
      <c r="A858" s="11"/>
      <c r="B858" s="11"/>
      <c r="C858" s="11"/>
      <c r="D858" s="11"/>
      <c r="E858" s="11"/>
      <c r="F858" s="11"/>
      <c r="G858" s="11"/>
    </row>
    <row r="859">
      <c r="A859" s="11"/>
      <c r="B859" s="11"/>
      <c r="C859" s="11"/>
      <c r="D859" s="11"/>
      <c r="E859" s="11"/>
      <c r="F859" s="11"/>
      <c r="G859" s="11"/>
    </row>
    <row r="860">
      <c r="A860" s="11"/>
      <c r="B860" s="11"/>
      <c r="C860" s="11"/>
      <c r="D860" s="11"/>
      <c r="E860" s="11"/>
      <c r="F860" s="11"/>
      <c r="G860" s="11"/>
    </row>
    <row r="861">
      <c r="A861" s="11"/>
      <c r="B861" s="11"/>
      <c r="C861" s="11"/>
      <c r="D861" s="11"/>
      <c r="E861" s="11"/>
      <c r="F861" s="11"/>
      <c r="G861" s="11"/>
    </row>
    <row r="862">
      <c r="A862" s="11"/>
      <c r="B862" s="11"/>
      <c r="C862" s="11"/>
      <c r="D862" s="11"/>
      <c r="E862" s="11"/>
      <c r="F862" s="11"/>
      <c r="G862" s="11"/>
    </row>
    <row r="863">
      <c r="A863" s="11"/>
      <c r="B863" s="11"/>
      <c r="C863" s="11"/>
      <c r="D863" s="11"/>
      <c r="E863" s="11"/>
      <c r="F863" s="11"/>
      <c r="G863" s="11"/>
    </row>
    <row r="864">
      <c r="A864" s="11"/>
      <c r="B864" s="11"/>
      <c r="C864" s="11"/>
      <c r="D864" s="11"/>
      <c r="E864" s="11"/>
      <c r="F864" s="11"/>
      <c r="G864" s="11"/>
    </row>
    <row r="865">
      <c r="A865" s="11"/>
      <c r="B865" s="11"/>
      <c r="C865" s="11"/>
      <c r="D865" s="11"/>
      <c r="E865" s="11"/>
      <c r="F865" s="11"/>
      <c r="G865" s="11"/>
    </row>
    <row r="866">
      <c r="A866" s="11"/>
      <c r="B866" s="11"/>
      <c r="C866" s="11"/>
      <c r="D866" s="11"/>
      <c r="E866" s="11"/>
      <c r="F866" s="11"/>
      <c r="G866" s="11"/>
    </row>
    <row r="867">
      <c r="A867" s="11"/>
      <c r="B867" s="11"/>
      <c r="C867" s="11"/>
      <c r="D867" s="11"/>
      <c r="E867" s="11"/>
      <c r="F867" s="11"/>
      <c r="G867" s="11"/>
    </row>
    <row r="868">
      <c r="A868" s="11"/>
      <c r="B868" s="11"/>
      <c r="C868" s="11"/>
      <c r="D868" s="11"/>
      <c r="E868" s="11"/>
      <c r="F868" s="11"/>
      <c r="G868" s="11"/>
    </row>
    <row r="869">
      <c r="A869" s="11"/>
      <c r="B869" s="11"/>
      <c r="C869" s="11"/>
      <c r="D869" s="11"/>
      <c r="E869" s="11"/>
      <c r="F869" s="11"/>
      <c r="G869" s="11"/>
    </row>
    <row r="870">
      <c r="A870" s="11"/>
      <c r="B870" s="11"/>
      <c r="C870" s="11"/>
      <c r="D870" s="11"/>
      <c r="E870" s="11"/>
      <c r="F870" s="11"/>
      <c r="G870" s="11"/>
    </row>
    <row r="871">
      <c r="A871" s="11"/>
      <c r="B871" s="11"/>
      <c r="C871" s="11"/>
      <c r="D871" s="11"/>
      <c r="E871" s="11"/>
      <c r="F871" s="11"/>
      <c r="G871" s="11"/>
    </row>
    <row r="872">
      <c r="A872" s="11"/>
      <c r="B872" s="11"/>
      <c r="C872" s="11"/>
      <c r="D872" s="11"/>
      <c r="E872" s="11"/>
      <c r="F872" s="11"/>
      <c r="G872" s="11"/>
    </row>
    <row r="873">
      <c r="A873" s="11"/>
      <c r="B873" s="11"/>
      <c r="C873" s="11"/>
      <c r="D873" s="11"/>
      <c r="E873" s="11"/>
      <c r="F873" s="11"/>
      <c r="G873" s="11"/>
    </row>
    <row r="874">
      <c r="A874" s="11"/>
      <c r="B874" s="11"/>
      <c r="C874" s="11"/>
      <c r="D874" s="11"/>
      <c r="E874" s="11"/>
      <c r="F874" s="11"/>
      <c r="G874" s="11"/>
    </row>
    <row r="875">
      <c r="A875" s="11"/>
      <c r="B875" s="11"/>
      <c r="C875" s="11"/>
      <c r="D875" s="11"/>
      <c r="E875" s="11"/>
      <c r="F875" s="11"/>
      <c r="G875" s="11"/>
    </row>
    <row r="876">
      <c r="A876" s="11"/>
      <c r="B876" s="11"/>
      <c r="C876" s="11"/>
      <c r="D876" s="11"/>
      <c r="E876" s="11"/>
      <c r="F876" s="11"/>
      <c r="G876" s="11"/>
    </row>
    <row r="877">
      <c r="A877" s="11"/>
      <c r="B877" s="11"/>
      <c r="C877" s="11"/>
      <c r="D877" s="11"/>
      <c r="E877" s="11"/>
      <c r="F877" s="11"/>
      <c r="G877" s="11"/>
    </row>
    <row r="878">
      <c r="A878" s="11"/>
      <c r="B878" s="11"/>
      <c r="C878" s="11"/>
      <c r="D878" s="11"/>
      <c r="E878" s="11"/>
      <c r="F878" s="11"/>
      <c r="G878" s="11"/>
    </row>
    <row r="879">
      <c r="A879" s="11"/>
      <c r="B879" s="11"/>
      <c r="C879" s="11"/>
      <c r="D879" s="11"/>
      <c r="E879" s="11"/>
      <c r="F879" s="11"/>
      <c r="G879" s="11"/>
    </row>
    <row r="880">
      <c r="A880" s="11"/>
      <c r="B880" s="11"/>
      <c r="C880" s="11"/>
      <c r="D880" s="11"/>
      <c r="E880" s="11"/>
      <c r="F880" s="11"/>
      <c r="G880" s="11"/>
    </row>
    <row r="881">
      <c r="A881" s="11"/>
      <c r="B881" s="11"/>
      <c r="C881" s="11"/>
      <c r="D881" s="11"/>
      <c r="E881" s="11"/>
      <c r="F881" s="11"/>
      <c r="G881" s="11"/>
    </row>
    <row r="882">
      <c r="A882" s="11"/>
      <c r="B882" s="11"/>
      <c r="C882" s="11"/>
      <c r="D882" s="11"/>
      <c r="E882" s="11"/>
      <c r="F882" s="11"/>
      <c r="G882" s="11"/>
    </row>
    <row r="883">
      <c r="A883" s="11"/>
      <c r="B883" s="11"/>
      <c r="C883" s="11"/>
      <c r="D883" s="11"/>
      <c r="E883" s="11"/>
      <c r="F883" s="11"/>
      <c r="G883" s="11"/>
    </row>
    <row r="884">
      <c r="A884" s="11"/>
      <c r="B884" s="11"/>
      <c r="C884" s="11"/>
      <c r="D884" s="11"/>
      <c r="E884" s="11"/>
      <c r="F884" s="11"/>
      <c r="G884" s="11"/>
    </row>
    <row r="885">
      <c r="A885" s="11"/>
      <c r="B885" s="11"/>
      <c r="C885" s="11"/>
      <c r="D885" s="11"/>
      <c r="E885" s="11"/>
      <c r="F885" s="11"/>
      <c r="G885" s="11"/>
    </row>
    <row r="886">
      <c r="A886" s="11"/>
      <c r="B886" s="11"/>
      <c r="C886" s="11"/>
      <c r="D886" s="11"/>
      <c r="E886" s="11"/>
      <c r="F886" s="11"/>
      <c r="G886" s="11"/>
    </row>
    <row r="887">
      <c r="A887" s="11"/>
      <c r="B887" s="11"/>
      <c r="C887" s="11"/>
      <c r="D887" s="11"/>
      <c r="E887" s="11"/>
      <c r="F887" s="11"/>
      <c r="G887" s="11"/>
    </row>
    <row r="888">
      <c r="A888" s="11"/>
      <c r="B888" s="11"/>
      <c r="C888" s="11"/>
      <c r="D888" s="11"/>
      <c r="E888" s="11"/>
      <c r="F888" s="11"/>
      <c r="G888" s="11"/>
    </row>
    <row r="889">
      <c r="A889" s="11"/>
      <c r="B889" s="11"/>
      <c r="C889" s="11"/>
      <c r="D889" s="11"/>
      <c r="E889" s="11"/>
      <c r="F889" s="11"/>
      <c r="G889" s="11"/>
    </row>
    <row r="890">
      <c r="A890" s="11"/>
      <c r="B890" s="11"/>
      <c r="C890" s="11"/>
      <c r="D890" s="11"/>
      <c r="E890" s="11"/>
      <c r="F890" s="11"/>
      <c r="G890" s="11"/>
    </row>
    <row r="891">
      <c r="A891" s="11"/>
      <c r="B891" s="11"/>
      <c r="C891" s="11"/>
      <c r="D891" s="11"/>
      <c r="E891" s="11"/>
      <c r="F891" s="11"/>
      <c r="G891" s="11"/>
    </row>
    <row r="892">
      <c r="A892" s="11"/>
      <c r="B892" s="11"/>
      <c r="C892" s="11"/>
      <c r="D892" s="11"/>
      <c r="E892" s="11"/>
      <c r="F892" s="11"/>
      <c r="G892" s="11"/>
    </row>
    <row r="893">
      <c r="A893" s="11"/>
      <c r="B893" s="11"/>
      <c r="C893" s="11"/>
      <c r="D893" s="11"/>
      <c r="E893" s="11"/>
      <c r="F893" s="11"/>
      <c r="G893" s="11"/>
    </row>
    <row r="894">
      <c r="A894" s="11"/>
      <c r="B894" s="11"/>
      <c r="C894" s="11"/>
      <c r="D894" s="11"/>
      <c r="E894" s="11"/>
      <c r="F894" s="11"/>
      <c r="G894" s="11"/>
    </row>
    <row r="895">
      <c r="A895" s="11"/>
      <c r="B895" s="11"/>
      <c r="C895" s="11"/>
      <c r="D895" s="11"/>
      <c r="E895" s="11"/>
      <c r="F895" s="11"/>
      <c r="G895" s="11"/>
    </row>
    <row r="896">
      <c r="A896" s="11"/>
      <c r="B896" s="11"/>
      <c r="C896" s="11"/>
      <c r="D896" s="11"/>
      <c r="E896" s="11"/>
      <c r="F896" s="11"/>
      <c r="G896" s="11"/>
    </row>
    <row r="897">
      <c r="A897" s="11"/>
      <c r="B897" s="11"/>
      <c r="C897" s="11"/>
      <c r="D897" s="11"/>
      <c r="E897" s="11"/>
      <c r="F897" s="11"/>
      <c r="G897" s="11"/>
    </row>
    <row r="898">
      <c r="A898" s="11"/>
      <c r="B898" s="11"/>
      <c r="C898" s="11"/>
      <c r="D898" s="11"/>
      <c r="E898" s="11"/>
      <c r="F898" s="11"/>
      <c r="G898" s="11"/>
    </row>
    <row r="899">
      <c r="A899" s="11"/>
      <c r="B899" s="11"/>
      <c r="C899" s="11"/>
      <c r="D899" s="11"/>
      <c r="E899" s="11"/>
      <c r="F899" s="11"/>
      <c r="G899" s="11"/>
    </row>
    <row r="900">
      <c r="A900" s="11"/>
      <c r="B900" s="11"/>
      <c r="C900" s="11"/>
      <c r="D900" s="11"/>
      <c r="E900" s="11"/>
      <c r="F900" s="11"/>
      <c r="G900" s="11"/>
    </row>
    <row r="901">
      <c r="A901" s="11"/>
      <c r="B901" s="11"/>
      <c r="C901" s="11"/>
      <c r="D901" s="11"/>
      <c r="E901" s="11"/>
      <c r="F901" s="11"/>
      <c r="G901" s="11"/>
    </row>
    <row r="902">
      <c r="A902" s="11"/>
      <c r="B902" s="11"/>
      <c r="C902" s="11"/>
      <c r="D902" s="11"/>
      <c r="E902" s="11"/>
      <c r="F902" s="11"/>
      <c r="G902" s="11"/>
    </row>
    <row r="903">
      <c r="A903" s="11"/>
      <c r="B903" s="11"/>
      <c r="C903" s="11"/>
      <c r="D903" s="11"/>
      <c r="E903" s="11"/>
      <c r="F903" s="11"/>
      <c r="G903" s="11"/>
    </row>
    <row r="904">
      <c r="A904" s="11"/>
      <c r="B904" s="11"/>
      <c r="C904" s="11"/>
      <c r="D904" s="11"/>
      <c r="E904" s="11"/>
      <c r="F904" s="11"/>
      <c r="G904" s="11"/>
    </row>
    <row r="905">
      <c r="A905" s="11"/>
      <c r="B905" s="11"/>
      <c r="C905" s="11"/>
      <c r="D905" s="11"/>
      <c r="E905" s="11"/>
      <c r="F905" s="11"/>
      <c r="G905" s="11"/>
    </row>
    <row r="906">
      <c r="A906" s="11"/>
      <c r="B906" s="11"/>
      <c r="C906" s="11"/>
      <c r="D906" s="11"/>
      <c r="E906" s="11"/>
      <c r="F906" s="11"/>
      <c r="G906" s="11"/>
    </row>
    <row r="907">
      <c r="A907" s="11"/>
      <c r="B907" s="11"/>
      <c r="C907" s="11"/>
      <c r="D907" s="11"/>
      <c r="E907" s="11"/>
      <c r="F907" s="11"/>
      <c r="G907" s="11"/>
    </row>
    <row r="908">
      <c r="A908" s="11"/>
      <c r="B908" s="11"/>
      <c r="C908" s="11"/>
      <c r="D908" s="11"/>
      <c r="E908" s="11"/>
      <c r="F908" s="11"/>
      <c r="G908" s="11"/>
    </row>
    <row r="909">
      <c r="A909" s="11"/>
      <c r="B909" s="11"/>
      <c r="C909" s="11"/>
      <c r="D909" s="11"/>
      <c r="E909" s="11"/>
      <c r="F909" s="11"/>
      <c r="G909" s="11"/>
    </row>
    <row r="910">
      <c r="A910" s="11"/>
      <c r="B910" s="11"/>
      <c r="C910" s="11"/>
      <c r="D910" s="11"/>
      <c r="E910" s="11"/>
      <c r="F910" s="11"/>
      <c r="G910" s="11"/>
    </row>
    <row r="911">
      <c r="A911" s="11"/>
      <c r="B911" s="11"/>
      <c r="C911" s="11"/>
      <c r="D911" s="11"/>
      <c r="E911" s="11"/>
      <c r="F911" s="11"/>
      <c r="G911" s="11"/>
    </row>
    <row r="912">
      <c r="A912" s="11"/>
      <c r="B912" s="11"/>
      <c r="C912" s="11"/>
      <c r="D912" s="11"/>
      <c r="E912" s="11"/>
      <c r="F912" s="11"/>
      <c r="G912" s="11"/>
    </row>
    <row r="913">
      <c r="A913" s="11"/>
      <c r="B913" s="11"/>
      <c r="C913" s="11"/>
      <c r="D913" s="11"/>
      <c r="E913" s="11"/>
      <c r="F913" s="11"/>
      <c r="G913" s="11"/>
    </row>
    <row r="914">
      <c r="A914" s="11"/>
      <c r="B914" s="11"/>
      <c r="C914" s="11"/>
      <c r="D914" s="11"/>
      <c r="E914" s="11"/>
      <c r="F914" s="11"/>
      <c r="G914" s="11"/>
    </row>
    <row r="915">
      <c r="A915" s="11"/>
      <c r="B915" s="11"/>
      <c r="C915" s="11"/>
      <c r="D915" s="11"/>
      <c r="E915" s="11"/>
      <c r="F915" s="11"/>
      <c r="G915" s="11"/>
    </row>
    <row r="916">
      <c r="A916" s="11"/>
      <c r="B916" s="11"/>
      <c r="C916" s="11"/>
      <c r="D916" s="11"/>
      <c r="E916" s="11"/>
      <c r="F916" s="11"/>
      <c r="G916" s="11"/>
    </row>
    <row r="917">
      <c r="A917" s="11"/>
      <c r="B917" s="11"/>
      <c r="C917" s="11"/>
      <c r="D917" s="11"/>
      <c r="E917" s="11"/>
      <c r="F917" s="11"/>
      <c r="G917" s="11"/>
    </row>
    <row r="918">
      <c r="A918" s="11"/>
      <c r="B918" s="11"/>
      <c r="C918" s="11"/>
      <c r="D918" s="11"/>
      <c r="E918" s="11"/>
      <c r="F918" s="11"/>
      <c r="G918" s="11"/>
    </row>
    <row r="919">
      <c r="A919" s="11"/>
      <c r="B919" s="11"/>
      <c r="C919" s="11"/>
      <c r="D919" s="11"/>
      <c r="E919" s="11"/>
      <c r="F919" s="11"/>
      <c r="G919" s="11"/>
    </row>
    <row r="920">
      <c r="A920" s="11"/>
      <c r="B920" s="11"/>
      <c r="C920" s="11"/>
      <c r="D920" s="11"/>
      <c r="E920" s="11"/>
      <c r="F920" s="11"/>
      <c r="G920" s="11"/>
    </row>
    <row r="921">
      <c r="A921" s="11"/>
      <c r="B921" s="11"/>
      <c r="C921" s="11"/>
      <c r="D921" s="11"/>
      <c r="E921" s="11"/>
      <c r="F921" s="11"/>
      <c r="G921" s="11"/>
    </row>
    <row r="922">
      <c r="A922" s="11"/>
      <c r="B922" s="11"/>
      <c r="C922" s="11"/>
      <c r="D922" s="11"/>
      <c r="E922" s="11"/>
      <c r="F922" s="11"/>
      <c r="G922" s="11"/>
    </row>
    <row r="923">
      <c r="A923" s="11"/>
      <c r="B923" s="11"/>
      <c r="C923" s="11"/>
      <c r="D923" s="11"/>
      <c r="E923" s="11"/>
      <c r="F923" s="11"/>
      <c r="G923" s="11"/>
    </row>
    <row r="924">
      <c r="A924" s="11"/>
      <c r="B924" s="11"/>
      <c r="C924" s="11"/>
      <c r="D924" s="11"/>
      <c r="E924" s="11"/>
      <c r="F924" s="11"/>
      <c r="G924" s="11"/>
    </row>
    <row r="925">
      <c r="A925" s="11"/>
      <c r="B925" s="11"/>
      <c r="C925" s="11"/>
      <c r="D925" s="11"/>
      <c r="E925" s="11"/>
      <c r="F925" s="11"/>
      <c r="G925" s="11"/>
    </row>
    <row r="926">
      <c r="A926" s="11"/>
      <c r="B926" s="11"/>
      <c r="C926" s="11"/>
      <c r="D926" s="11"/>
      <c r="E926" s="11"/>
      <c r="F926" s="11"/>
      <c r="G926" s="11"/>
    </row>
    <row r="927">
      <c r="A927" s="11"/>
      <c r="B927" s="11"/>
      <c r="C927" s="11"/>
      <c r="D927" s="11"/>
      <c r="E927" s="11"/>
      <c r="F927" s="11"/>
      <c r="G927" s="11"/>
    </row>
    <row r="928">
      <c r="A928" s="11"/>
      <c r="B928" s="11"/>
      <c r="C928" s="11"/>
      <c r="D928" s="11"/>
      <c r="E928" s="11"/>
      <c r="F928" s="11"/>
      <c r="G928" s="11"/>
    </row>
    <row r="929">
      <c r="A929" s="11"/>
      <c r="B929" s="11"/>
      <c r="C929" s="11"/>
      <c r="D929" s="11"/>
      <c r="E929" s="11"/>
      <c r="F929" s="11"/>
      <c r="G929" s="11"/>
    </row>
    <row r="930">
      <c r="A930" s="11"/>
      <c r="B930" s="11"/>
      <c r="C930" s="11"/>
      <c r="D930" s="11"/>
      <c r="E930" s="11"/>
      <c r="F930" s="11"/>
      <c r="G930" s="11"/>
    </row>
    <row r="931">
      <c r="A931" s="11"/>
      <c r="B931" s="11"/>
      <c r="C931" s="11"/>
      <c r="D931" s="11"/>
      <c r="E931" s="11"/>
      <c r="F931" s="11"/>
      <c r="G931" s="11"/>
    </row>
    <row r="932">
      <c r="A932" s="11"/>
      <c r="B932" s="11"/>
      <c r="C932" s="11"/>
      <c r="D932" s="11"/>
      <c r="E932" s="11"/>
      <c r="F932" s="11"/>
      <c r="G932" s="11"/>
    </row>
    <row r="933">
      <c r="A933" s="11"/>
      <c r="B933" s="11"/>
      <c r="C933" s="11"/>
      <c r="D933" s="11"/>
      <c r="E933" s="11"/>
      <c r="F933" s="11"/>
      <c r="G933" s="11"/>
    </row>
    <row r="934">
      <c r="A934" s="11"/>
      <c r="B934" s="11"/>
      <c r="C934" s="11"/>
      <c r="D934" s="11"/>
      <c r="E934" s="11"/>
      <c r="F934" s="11"/>
      <c r="G934" s="11"/>
    </row>
    <row r="935">
      <c r="A935" s="11"/>
      <c r="B935" s="11"/>
      <c r="C935" s="11"/>
      <c r="D935" s="11"/>
      <c r="E935" s="11"/>
      <c r="F935" s="11"/>
      <c r="G935" s="11"/>
    </row>
    <row r="936">
      <c r="A936" s="11"/>
      <c r="B936" s="11"/>
      <c r="C936" s="11"/>
      <c r="D936" s="11"/>
      <c r="E936" s="11"/>
      <c r="F936" s="11"/>
      <c r="G936" s="11"/>
    </row>
    <row r="937">
      <c r="A937" s="11"/>
      <c r="B937" s="11"/>
      <c r="C937" s="11"/>
      <c r="D937" s="11"/>
      <c r="E937" s="11"/>
      <c r="F937" s="11"/>
      <c r="G937" s="11"/>
    </row>
    <row r="938">
      <c r="A938" s="11"/>
      <c r="B938" s="11"/>
      <c r="C938" s="11"/>
      <c r="D938" s="11"/>
      <c r="E938" s="11"/>
      <c r="F938" s="11"/>
      <c r="G938" s="11"/>
    </row>
    <row r="939">
      <c r="A939" s="11"/>
      <c r="B939" s="11"/>
      <c r="C939" s="11"/>
      <c r="D939" s="11"/>
      <c r="E939" s="11"/>
      <c r="F939" s="11"/>
      <c r="G939" s="11"/>
    </row>
    <row r="940">
      <c r="A940" s="11"/>
      <c r="B940" s="11"/>
      <c r="C940" s="11"/>
      <c r="D940" s="11"/>
      <c r="E940" s="11"/>
      <c r="F940" s="11"/>
      <c r="G940" s="11"/>
    </row>
    <row r="941">
      <c r="A941" s="11"/>
      <c r="B941" s="11"/>
      <c r="C941" s="11"/>
      <c r="D941" s="11"/>
      <c r="E941" s="11"/>
      <c r="F941" s="11"/>
      <c r="G941" s="11"/>
    </row>
    <row r="942">
      <c r="A942" s="11"/>
      <c r="B942" s="11"/>
      <c r="C942" s="11"/>
      <c r="D942" s="11"/>
      <c r="E942" s="11"/>
      <c r="F942" s="11"/>
      <c r="G942" s="11"/>
    </row>
    <row r="943">
      <c r="A943" s="11"/>
      <c r="B943" s="11"/>
      <c r="C943" s="11"/>
      <c r="D943" s="11"/>
      <c r="E943" s="11"/>
      <c r="F943" s="11"/>
      <c r="G943" s="11"/>
    </row>
    <row r="944">
      <c r="A944" s="11"/>
      <c r="B944" s="11"/>
      <c r="C944" s="11"/>
      <c r="D944" s="11"/>
      <c r="E944" s="11"/>
      <c r="F944" s="11"/>
      <c r="G944" s="11"/>
    </row>
    <row r="945">
      <c r="A945" s="11"/>
      <c r="B945" s="11"/>
      <c r="C945" s="11"/>
      <c r="D945" s="11"/>
      <c r="E945" s="11"/>
      <c r="F945" s="11"/>
      <c r="G945" s="11"/>
    </row>
    <row r="946">
      <c r="A946" s="11"/>
      <c r="B946" s="11"/>
      <c r="C946" s="11"/>
      <c r="D946" s="11"/>
      <c r="E946" s="11"/>
      <c r="F946" s="11"/>
      <c r="G946" s="11"/>
    </row>
    <row r="947">
      <c r="A947" s="11"/>
      <c r="B947" s="11"/>
      <c r="C947" s="11"/>
      <c r="D947" s="11"/>
      <c r="E947" s="11"/>
      <c r="F947" s="11"/>
      <c r="G947" s="11"/>
    </row>
    <row r="948">
      <c r="A948" s="11"/>
      <c r="B948" s="11"/>
      <c r="C948" s="11"/>
      <c r="D948" s="11"/>
      <c r="E948" s="11"/>
      <c r="F948" s="11"/>
      <c r="G948" s="11"/>
    </row>
    <row r="949">
      <c r="A949" s="11"/>
      <c r="B949" s="11"/>
      <c r="C949" s="11"/>
      <c r="D949" s="11"/>
      <c r="E949" s="11"/>
      <c r="F949" s="11"/>
      <c r="G949" s="11"/>
    </row>
    <row r="950">
      <c r="A950" s="11"/>
      <c r="B950" s="11"/>
      <c r="C950" s="11"/>
      <c r="D950" s="11"/>
      <c r="E950" s="11"/>
      <c r="F950" s="11"/>
      <c r="G950" s="11"/>
    </row>
    <row r="951">
      <c r="A951" s="11"/>
      <c r="B951" s="11"/>
      <c r="C951" s="11"/>
      <c r="D951" s="11"/>
      <c r="E951" s="11"/>
      <c r="F951" s="11"/>
      <c r="G951" s="11"/>
    </row>
    <row r="952">
      <c r="A952" s="11"/>
      <c r="B952" s="11"/>
      <c r="C952" s="11"/>
      <c r="D952" s="11"/>
      <c r="E952" s="11"/>
      <c r="F952" s="11"/>
      <c r="G952" s="11"/>
    </row>
    <row r="953">
      <c r="A953" s="11"/>
      <c r="B953" s="11"/>
      <c r="C953" s="11"/>
      <c r="D953" s="11"/>
      <c r="E953" s="11"/>
      <c r="F953" s="11"/>
      <c r="G953" s="11"/>
    </row>
    <row r="954">
      <c r="A954" s="11"/>
      <c r="B954" s="11"/>
      <c r="C954" s="11"/>
      <c r="D954" s="11"/>
      <c r="E954" s="11"/>
      <c r="F954" s="11"/>
      <c r="G954" s="11"/>
    </row>
    <row r="955">
      <c r="A955" s="11"/>
      <c r="B955" s="11"/>
      <c r="C955" s="11"/>
      <c r="D955" s="11"/>
      <c r="E955" s="11"/>
      <c r="F955" s="11"/>
      <c r="G955" s="11"/>
    </row>
    <row r="956">
      <c r="A956" s="11"/>
      <c r="B956" s="11"/>
      <c r="C956" s="11"/>
      <c r="D956" s="11"/>
      <c r="E956" s="11"/>
      <c r="F956" s="11"/>
      <c r="G956" s="11"/>
    </row>
    <row r="957">
      <c r="A957" s="11"/>
      <c r="B957" s="11"/>
      <c r="C957" s="11"/>
      <c r="D957" s="11"/>
      <c r="E957" s="11"/>
      <c r="F957" s="11"/>
      <c r="G957" s="11"/>
    </row>
    <row r="958">
      <c r="A958" s="11"/>
      <c r="B958" s="11"/>
      <c r="C958" s="11"/>
      <c r="D958" s="11"/>
      <c r="E958" s="11"/>
      <c r="F958" s="11"/>
      <c r="G958" s="11"/>
    </row>
    <row r="959">
      <c r="A959" s="11"/>
      <c r="B959" s="11"/>
      <c r="C959" s="11"/>
      <c r="D959" s="11"/>
      <c r="E959" s="11"/>
      <c r="F959" s="11"/>
      <c r="G959" s="11"/>
    </row>
    <row r="960">
      <c r="A960" s="11"/>
      <c r="B960" s="11"/>
      <c r="C960" s="11"/>
      <c r="D960" s="11"/>
      <c r="E960" s="11"/>
      <c r="F960" s="11"/>
      <c r="G960" s="11"/>
    </row>
    <row r="961">
      <c r="A961" s="11"/>
      <c r="B961" s="11"/>
      <c r="C961" s="11"/>
      <c r="D961" s="11"/>
      <c r="E961" s="11"/>
      <c r="F961" s="11"/>
      <c r="G961" s="11"/>
    </row>
    <row r="962">
      <c r="A962" s="11"/>
      <c r="B962" s="11"/>
      <c r="C962" s="11"/>
      <c r="D962" s="11"/>
      <c r="E962" s="11"/>
      <c r="F962" s="11"/>
      <c r="G962" s="11"/>
    </row>
    <row r="963">
      <c r="A963" s="11"/>
      <c r="B963" s="11"/>
      <c r="C963" s="11"/>
      <c r="D963" s="11"/>
      <c r="E963" s="11"/>
      <c r="F963" s="11"/>
      <c r="G963" s="11"/>
    </row>
    <row r="964">
      <c r="A964" s="11"/>
      <c r="B964" s="11"/>
      <c r="C964" s="11"/>
      <c r="D964" s="11"/>
      <c r="E964" s="11"/>
      <c r="F964" s="11"/>
      <c r="G964" s="11"/>
    </row>
    <row r="965">
      <c r="A965" s="11"/>
      <c r="B965" s="11"/>
      <c r="C965" s="11"/>
      <c r="D965" s="11"/>
      <c r="E965" s="11"/>
      <c r="F965" s="11"/>
      <c r="G965" s="11"/>
    </row>
    <row r="966">
      <c r="A966" s="11"/>
      <c r="B966" s="11"/>
      <c r="C966" s="11"/>
      <c r="D966" s="11"/>
      <c r="E966" s="11"/>
      <c r="F966" s="11"/>
      <c r="G966" s="11"/>
    </row>
    <row r="967">
      <c r="A967" s="11"/>
      <c r="B967" s="11"/>
      <c r="C967" s="11"/>
      <c r="D967" s="11"/>
      <c r="E967" s="11"/>
      <c r="F967" s="11"/>
      <c r="G967" s="11"/>
    </row>
    <row r="968">
      <c r="A968" s="11"/>
      <c r="B968" s="11"/>
      <c r="C968" s="11"/>
      <c r="D968" s="11"/>
      <c r="E968" s="11"/>
      <c r="F968" s="11"/>
      <c r="G968" s="11"/>
    </row>
    <row r="969">
      <c r="A969" s="11"/>
      <c r="B969" s="11"/>
      <c r="C969" s="11"/>
      <c r="D969" s="11"/>
      <c r="E969" s="11"/>
      <c r="F969" s="11"/>
      <c r="G969" s="11"/>
    </row>
    <row r="970">
      <c r="A970" s="11"/>
      <c r="B970" s="11"/>
      <c r="C970" s="11"/>
      <c r="D970" s="11"/>
      <c r="E970" s="11"/>
      <c r="F970" s="11"/>
      <c r="G970" s="11"/>
    </row>
    <row r="971">
      <c r="A971" s="11"/>
      <c r="B971" s="11"/>
      <c r="C971" s="11"/>
      <c r="D971" s="11"/>
      <c r="E971" s="11"/>
      <c r="F971" s="11"/>
      <c r="G971" s="11"/>
    </row>
    <row r="972">
      <c r="A972" s="11"/>
      <c r="B972" s="11"/>
      <c r="C972" s="11"/>
      <c r="D972" s="11"/>
      <c r="E972" s="11"/>
      <c r="F972" s="11"/>
      <c r="G972" s="11"/>
    </row>
    <row r="973">
      <c r="A973" s="11"/>
      <c r="B973" s="11"/>
      <c r="C973" s="11"/>
      <c r="D973" s="11"/>
      <c r="E973" s="11"/>
      <c r="F973" s="11"/>
      <c r="G973" s="11"/>
    </row>
    <row r="974">
      <c r="A974" s="11"/>
      <c r="B974" s="11"/>
      <c r="C974" s="11"/>
      <c r="D974" s="11"/>
      <c r="E974" s="11"/>
      <c r="F974" s="11"/>
      <c r="G974" s="11"/>
    </row>
    <row r="975">
      <c r="A975" s="11"/>
      <c r="B975" s="11"/>
      <c r="C975" s="11"/>
      <c r="D975" s="11"/>
      <c r="E975" s="11"/>
      <c r="F975" s="11"/>
      <c r="G975" s="11"/>
    </row>
    <row r="976">
      <c r="A976" s="11"/>
      <c r="B976" s="11"/>
      <c r="C976" s="11"/>
      <c r="D976" s="11"/>
      <c r="E976" s="11"/>
      <c r="F976" s="11"/>
      <c r="G976" s="11"/>
    </row>
    <row r="977">
      <c r="A977" s="11"/>
      <c r="B977" s="11"/>
      <c r="C977" s="11"/>
      <c r="D977" s="11"/>
      <c r="E977" s="11"/>
      <c r="F977" s="11"/>
      <c r="G977" s="11"/>
    </row>
    <row r="978">
      <c r="A978" s="11"/>
      <c r="B978" s="11"/>
      <c r="C978" s="11"/>
      <c r="D978" s="11"/>
      <c r="E978" s="11"/>
      <c r="F978" s="11"/>
      <c r="G978" s="11"/>
    </row>
    <row r="979">
      <c r="A979" s="11"/>
      <c r="B979" s="11"/>
      <c r="C979" s="11"/>
      <c r="D979" s="11"/>
      <c r="E979" s="11"/>
      <c r="F979" s="11"/>
      <c r="G979" s="11"/>
    </row>
    <row r="980">
      <c r="A980" s="11"/>
      <c r="B980" s="11"/>
      <c r="C980" s="11"/>
      <c r="D980" s="11"/>
      <c r="E980" s="11"/>
      <c r="F980" s="11"/>
      <c r="G980" s="11"/>
    </row>
    <row r="981">
      <c r="A981" s="11"/>
      <c r="B981" s="11"/>
      <c r="C981" s="11"/>
      <c r="D981" s="11"/>
      <c r="E981" s="11"/>
      <c r="F981" s="11"/>
      <c r="G981" s="11"/>
    </row>
    <row r="982">
      <c r="A982" s="11"/>
      <c r="B982" s="11"/>
      <c r="C982" s="11"/>
      <c r="D982" s="11"/>
      <c r="E982" s="11"/>
      <c r="F982" s="11"/>
      <c r="G982" s="11"/>
    </row>
    <row r="983">
      <c r="A983" s="11"/>
      <c r="B983" s="11"/>
      <c r="C983" s="11"/>
      <c r="D983" s="11"/>
      <c r="E983" s="11"/>
      <c r="F983" s="11"/>
      <c r="G983" s="11"/>
    </row>
    <row r="984">
      <c r="A984" s="11"/>
      <c r="B984" s="11"/>
      <c r="C984" s="11"/>
      <c r="D984" s="11"/>
      <c r="E984" s="11"/>
      <c r="F984" s="11"/>
      <c r="G984" s="11"/>
    </row>
    <row r="985">
      <c r="A985" s="11"/>
      <c r="B985" s="11"/>
      <c r="C985" s="11"/>
      <c r="D985" s="11"/>
      <c r="E985" s="11"/>
      <c r="F985" s="11"/>
      <c r="G985" s="11"/>
    </row>
    <row r="986">
      <c r="A986" s="11"/>
      <c r="B986" s="11"/>
      <c r="C986" s="11"/>
      <c r="D986" s="11"/>
      <c r="E986" s="11"/>
      <c r="F986" s="11"/>
      <c r="G986" s="11"/>
    </row>
    <row r="987">
      <c r="A987" s="11"/>
      <c r="B987" s="11"/>
      <c r="C987" s="11"/>
      <c r="D987" s="11"/>
      <c r="E987" s="11"/>
      <c r="F987" s="11"/>
      <c r="G987" s="11"/>
    </row>
    <row r="988">
      <c r="A988" s="11"/>
      <c r="B988" s="11"/>
      <c r="C988" s="11"/>
      <c r="D988" s="11"/>
      <c r="E988" s="11"/>
      <c r="F988" s="11"/>
      <c r="G988" s="11"/>
    </row>
    <row r="989">
      <c r="A989" s="11"/>
      <c r="B989" s="11"/>
      <c r="C989" s="11"/>
      <c r="D989" s="11"/>
      <c r="E989" s="11"/>
      <c r="F989" s="11"/>
      <c r="G989" s="11"/>
    </row>
    <row r="990">
      <c r="A990" s="11"/>
      <c r="B990" s="11"/>
      <c r="C990" s="11"/>
      <c r="D990" s="11"/>
      <c r="E990" s="11"/>
      <c r="F990" s="11"/>
      <c r="G990" s="11"/>
    </row>
    <row r="991">
      <c r="A991" s="11"/>
      <c r="B991" s="11"/>
      <c r="C991" s="11"/>
      <c r="D991" s="11"/>
      <c r="E991" s="11"/>
      <c r="F991" s="11"/>
      <c r="G991" s="11"/>
    </row>
    <row r="992">
      <c r="A992" s="11"/>
      <c r="B992" s="11"/>
      <c r="C992" s="11"/>
      <c r="D992" s="11"/>
      <c r="E992" s="11"/>
      <c r="F992" s="11"/>
      <c r="G992" s="11"/>
    </row>
    <row r="993">
      <c r="A993" s="11"/>
      <c r="B993" s="11"/>
      <c r="C993" s="11"/>
      <c r="D993" s="11"/>
      <c r="E993" s="11"/>
      <c r="F993" s="11"/>
      <c r="G993" s="11"/>
    </row>
    <row r="994">
      <c r="A994" s="11"/>
      <c r="B994" s="11"/>
      <c r="C994" s="11"/>
      <c r="D994" s="11"/>
      <c r="E994" s="11"/>
      <c r="F994" s="11"/>
      <c r="G994" s="11"/>
    </row>
    <row r="995">
      <c r="A995" s="11"/>
      <c r="B995" s="11"/>
      <c r="C995" s="11"/>
      <c r="D995" s="11"/>
      <c r="E995" s="11"/>
      <c r="F995" s="11"/>
      <c r="G995" s="11"/>
    </row>
    <row r="996">
      <c r="A996" s="11"/>
      <c r="B996" s="11"/>
      <c r="C996" s="11"/>
      <c r="D996" s="11"/>
      <c r="E996" s="11"/>
      <c r="F996" s="11"/>
      <c r="G996" s="11"/>
    </row>
    <row r="997">
      <c r="A997" s="11"/>
      <c r="B997" s="11"/>
      <c r="C997" s="11"/>
      <c r="D997" s="11"/>
      <c r="E997" s="11"/>
      <c r="F997" s="11"/>
      <c r="G997" s="11"/>
    </row>
    <row r="998">
      <c r="A998" s="11"/>
      <c r="B998" s="11"/>
      <c r="C998" s="11"/>
      <c r="D998" s="11"/>
      <c r="E998" s="11"/>
      <c r="F998" s="11"/>
      <c r="G998" s="11"/>
    </row>
    <row r="999">
      <c r="A999" s="11"/>
      <c r="B999" s="11"/>
      <c r="C999" s="11"/>
      <c r="D999" s="11"/>
      <c r="E999" s="11"/>
      <c r="F999" s="11"/>
      <c r="G999" s="11"/>
    </row>
    <row r="1000">
      <c r="A1000" s="11"/>
      <c r="B1000" s="11"/>
      <c r="C1000" s="11"/>
      <c r="D1000" s="11"/>
      <c r="E1000" s="11"/>
      <c r="F1000" s="11"/>
      <c r="G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5.13"/>
    <col customWidth="1" min="5" max="5" width="15.0"/>
    <col customWidth="1" min="11" max="11" width="23.75"/>
  </cols>
  <sheetData>
    <row r="1">
      <c r="A1" s="17" t="s">
        <v>14</v>
      </c>
      <c r="B1" s="17" t="s">
        <v>15</v>
      </c>
      <c r="C1" s="17" t="s">
        <v>16</v>
      </c>
      <c r="D1" s="17" t="s">
        <v>17</v>
      </c>
      <c r="E1" s="17" t="s">
        <v>18</v>
      </c>
      <c r="F1" s="17" t="s">
        <v>19</v>
      </c>
      <c r="G1" s="17" t="s">
        <v>20</v>
      </c>
      <c r="J1" s="2" t="s">
        <v>21</v>
      </c>
    </row>
    <row r="2">
      <c r="A2" s="18" t="s">
        <v>22</v>
      </c>
      <c r="B2" s="18" t="s">
        <v>23</v>
      </c>
      <c r="C2" s="18" t="s">
        <v>24</v>
      </c>
      <c r="D2" s="18" t="s">
        <v>182</v>
      </c>
      <c r="E2" s="21">
        <v>8.85</v>
      </c>
      <c r="F2" s="18">
        <v>0.71</v>
      </c>
      <c r="G2" s="18">
        <v>0.34</v>
      </c>
      <c r="J2" s="14" t="s">
        <v>18</v>
      </c>
      <c r="K2" s="22">
        <f>AVERAGE(E2:E31)</f>
        <v>6.663333333</v>
      </c>
    </row>
    <row r="3">
      <c r="A3" s="18" t="s">
        <v>27</v>
      </c>
      <c r="B3" s="18" t="s">
        <v>28</v>
      </c>
      <c r="C3" s="18" t="s">
        <v>29</v>
      </c>
      <c r="D3" s="18" t="s">
        <v>183</v>
      </c>
      <c r="E3" s="21">
        <v>8.06</v>
      </c>
      <c r="F3" s="18">
        <v>0.66</v>
      </c>
      <c r="G3" s="18">
        <v>0.19</v>
      </c>
      <c r="J3" s="14" t="s">
        <v>19</v>
      </c>
      <c r="K3" s="11">
        <f>AVERAGE(F2:F31)</f>
        <v>0.738</v>
      </c>
    </row>
    <row r="4">
      <c r="A4" s="18" t="s">
        <v>31</v>
      </c>
      <c r="B4" s="20"/>
      <c r="C4" s="18" t="s">
        <v>32</v>
      </c>
      <c r="D4" s="18" t="s">
        <v>184</v>
      </c>
      <c r="E4" s="21">
        <v>0.57</v>
      </c>
      <c r="F4" s="18">
        <v>0.63</v>
      </c>
      <c r="G4" s="18">
        <v>0.0</v>
      </c>
      <c r="J4" s="14" t="s">
        <v>20</v>
      </c>
      <c r="K4" s="11">
        <f>AVERAGE(G2:G31)</f>
        <v>0.3113333333</v>
      </c>
    </row>
    <row r="5">
      <c r="A5" s="18" t="s">
        <v>35</v>
      </c>
      <c r="B5" s="18" t="s">
        <v>36</v>
      </c>
      <c r="C5" s="18" t="s">
        <v>37</v>
      </c>
      <c r="D5" s="18" t="s">
        <v>185</v>
      </c>
      <c r="E5" s="21">
        <v>7.98</v>
      </c>
      <c r="F5" s="18">
        <v>0.79</v>
      </c>
      <c r="G5" s="18">
        <v>0.29</v>
      </c>
    </row>
    <row r="6">
      <c r="A6" s="18" t="s">
        <v>39</v>
      </c>
      <c r="B6" s="18" t="s">
        <v>40</v>
      </c>
      <c r="C6" s="18" t="s">
        <v>41</v>
      </c>
      <c r="D6" s="18" t="s">
        <v>186</v>
      </c>
      <c r="E6" s="21">
        <v>6.59</v>
      </c>
      <c r="F6" s="18">
        <v>0.77</v>
      </c>
      <c r="G6" s="18">
        <v>0.4</v>
      </c>
    </row>
    <row r="7">
      <c r="A7" s="18" t="s">
        <v>45</v>
      </c>
      <c r="B7" s="18" t="s">
        <v>46</v>
      </c>
      <c r="C7" s="18" t="s">
        <v>47</v>
      </c>
      <c r="D7" s="18" t="s">
        <v>187</v>
      </c>
      <c r="E7" s="21">
        <v>8.09</v>
      </c>
      <c r="F7" s="18">
        <v>0.75</v>
      </c>
      <c r="G7" s="18">
        <v>0.32</v>
      </c>
    </row>
    <row r="8">
      <c r="A8" s="18" t="s">
        <v>50</v>
      </c>
      <c r="B8" s="18" t="s">
        <v>51</v>
      </c>
      <c r="C8" s="18" t="s">
        <v>52</v>
      </c>
      <c r="D8" s="18" t="s">
        <v>188</v>
      </c>
      <c r="E8" s="21">
        <v>7.99</v>
      </c>
      <c r="F8" s="18">
        <v>0.68</v>
      </c>
      <c r="G8" s="18">
        <v>0.51</v>
      </c>
    </row>
    <row r="9">
      <c r="A9" s="18" t="s">
        <v>54</v>
      </c>
      <c r="B9" s="18" t="s">
        <v>55</v>
      </c>
      <c r="C9" s="18" t="s">
        <v>56</v>
      </c>
      <c r="D9" s="18" t="s">
        <v>189</v>
      </c>
      <c r="E9" s="21">
        <v>8.04</v>
      </c>
      <c r="F9" s="18">
        <v>0.73</v>
      </c>
      <c r="G9" s="18">
        <v>0.33</v>
      </c>
    </row>
    <row r="10">
      <c r="A10" s="18" t="s">
        <v>58</v>
      </c>
      <c r="B10" s="18" t="s">
        <v>59</v>
      </c>
      <c r="C10" s="18" t="s">
        <v>60</v>
      </c>
      <c r="D10" s="18" t="s">
        <v>190</v>
      </c>
      <c r="E10" s="21">
        <v>5.54</v>
      </c>
      <c r="F10" s="18">
        <v>0.79</v>
      </c>
      <c r="G10" s="18">
        <v>0.39</v>
      </c>
    </row>
    <row r="11">
      <c r="A11" s="18" t="s">
        <v>63</v>
      </c>
      <c r="B11" s="18" t="s">
        <v>64</v>
      </c>
      <c r="C11" s="18" t="s">
        <v>65</v>
      </c>
      <c r="D11" s="18" t="s">
        <v>191</v>
      </c>
      <c r="E11" s="21">
        <v>8.07</v>
      </c>
      <c r="F11" s="18">
        <v>0.77</v>
      </c>
      <c r="G11" s="18">
        <v>0.43</v>
      </c>
    </row>
    <row r="12">
      <c r="A12" s="18" t="s">
        <v>67</v>
      </c>
      <c r="B12" s="18" t="s">
        <v>68</v>
      </c>
      <c r="C12" s="18" t="s">
        <v>69</v>
      </c>
      <c r="D12" s="18" t="s">
        <v>192</v>
      </c>
      <c r="E12" s="21">
        <v>8.12</v>
      </c>
      <c r="F12" s="18">
        <v>0.74</v>
      </c>
      <c r="G12" s="18">
        <v>0.31</v>
      </c>
    </row>
    <row r="13">
      <c r="A13" s="18" t="s">
        <v>67</v>
      </c>
      <c r="B13" s="18" t="s">
        <v>71</v>
      </c>
      <c r="C13" s="18" t="s">
        <v>72</v>
      </c>
      <c r="D13" s="18" t="s">
        <v>193</v>
      </c>
      <c r="E13" s="21">
        <v>5.4</v>
      </c>
      <c r="F13" s="18">
        <v>0.73</v>
      </c>
      <c r="G13" s="18">
        <v>0.3</v>
      </c>
    </row>
    <row r="14">
      <c r="A14" s="18" t="s">
        <v>74</v>
      </c>
      <c r="B14" s="18" t="s">
        <v>75</v>
      </c>
      <c r="C14" s="18" t="s">
        <v>76</v>
      </c>
      <c r="D14" s="18" t="s">
        <v>194</v>
      </c>
      <c r="E14" s="21">
        <v>8.07</v>
      </c>
      <c r="F14" s="18">
        <v>0.76</v>
      </c>
      <c r="G14" s="18">
        <v>0.43</v>
      </c>
    </row>
    <row r="15">
      <c r="A15" s="18" t="s">
        <v>78</v>
      </c>
      <c r="B15" s="18" t="s">
        <v>79</v>
      </c>
      <c r="C15" s="18" t="s">
        <v>80</v>
      </c>
      <c r="D15" s="18" t="s">
        <v>195</v>
      </c>
      <c r="E15" s="21">
        <v>6.05</v>
      </c>
      <c r="F15" s="18">
        <v>0.74</v>
      </c>
      <c r="G15" s="18">
        <v>0.27</v>
      </c>
    </row>
    <row r="16">
      <c r="A16" s="18" t="s">
        <v>83</v>
      </c>
      <c r="B16" s="18" t="s">
        <v>84</v>
      </c>
      <c r="C16" s="18" t="s">
        <v>85</v>
      </c>
      <c r="D16" s="18" t="s">
        <v>196</v>
      </c>
      <c r="E16" s="21">
        <v>5.4</v>
      </c>
      <c r="F16" s="18">
        <v>0.75</v>
      </c>
      <c r="G16" s="18">
        <v>0.32</v>
      </c>
    </row>
    <row r="17">
      <c r="A17" s="18" t="s">
        <v>87</v>
      </c>
      <c r="B17" s="18" t="s">
        <v>88</v>
      </c>
      <c r="C17" s="18" t="s">
        <v>89</v>
      </c>
      <c r="D17" s="18" t="s">
        <v>197</v>
      </c>
      <c r="E17" s="21">
        <v>8.12</v>
      </c>
      <c r="F17" s="18">
        <v>0.74</v>
      </c>
      <c r="G17" s="18">
        <v>0.28</v>
      </c>
    </row>
    <row r="18">
      <c r="A18" s="18" t="s">
        <v>91</v>
      </c>
      <c r="B18" s="18" t="s">
        <v>92</v>
      </c>
      <c r="C18" s="18" t="s">
        <v>93</v>
      </c>
      <c r="D18" s="18" t="s">
        <v>198</v>
      </c>
      <c r="E18" s="21">
        <v>8.11</v>
      </c>
      <c r="F18" s="18">
        <v>0.72</v>
      </c>
      <c r="G18" s="18">
        <v>0.26</v>
      </c>
    </row>
    <row r="19">
      <c r="A19" s="18" t="s">
        <v>95</v>
      </c>
      <c r="B19" s="18" t="s">
        <v>96</v>
      </c>
      <c r="C19" s="18" t="s">
        <v>97</v>
      </c>
      <c r="D19" s="18" t="s">
        <v>199</v>
      </c>
      <c r="E19" s="21">
        <v>8.04</v>
      </c>
      <c r="F19" s="18">
        <v>0.78</v>
      </c>
      <c r="G19" s="18">
        <v>0.44</v>
      </c>
    </row>
    <row r="20">
      <c r="A20" s="18" t="s">
        <v>99</v>
      </c>
      <c r="B20" s="18" t="s">
        <v>100</v>
      </c>
      <c r="C20" s="18" t="s">
        <v>101</v>
      </c>
      <c r="D20" s="18" t="s">
        <v>200</v>
      </c>
      <c r="E20" s="21">
        <v>4.91</v>
      </c>
      <c r="F20" s="18">
        <v>0.81</v>
      </c>
      <c r="G20" s="18">
        <v>0.45</v>
      </c>
    </row>
    <row r="21">
      <c r="A21" s="18" t="s">
        <v>103</v>
      </c>
      <c r="B21" s="18" t="s">
        <v>104</v>
      </c>
      <c r="C21" s="18" t="s">
        <v>105</v>
      </c>
      <c r="D21" s="18" t="s">
        <v>201</v>
      </c>
      <c r="E21" s="21">
        <v>4.53</v>
      </c>
      <c r="F21" s="18">
        <v>0.77</v>
      </c>
      <c r="G21" s="18">
        <v>0.29</v>
      </c>
    </row>
    <row r="22">
      <c r="A22" s="18" t="s">
        <v>107</v>
      </c>
      <c r="B22" s="18" t="s">
        <v>108</v>
      </c>
      <c r="C22" s="18" t="s">
        <v>109</v>
      </c>
      <c r="D22" s="18" t="s">
        <v>202</v>
      </c>
      <c r="E22" s="21">
        <v>8.05</v>
      </c>
      <c r="F22" s="18">
        <v>0.71</v>
      </c>
      <c r="G22" s="18">
        <v>0.27</v>
      </c>
    </row>
    <row r="23">
      <c r="A23" s="18" t="s">
        <v>112</v>
      </c>
      <c r="B23" s="18" t="s">
        <v>113</v>
      </c>
      <c r="C23" s="18" t="s">
        <v>114</v>
      </c>
      <c r="D23" s="18" t="s">
        <v>203</v>
      </c>
      <c r="E23" s="21">
        <v>8.12</v>
      </c>
      <c r="F23" s="18">
        <v>0.74</v>
      </c>
      <c r="G23" s="18">
        <v>0.26</v>
      </c>
    </row>
    <row r="24">
      <c r="A24" s="18" t="s">
        <v>117</v>
      </c>
      <c r="B24" s="18" t="s">
        <v>118</v>
      </c>
      <c r="C24" s="18" t="s">
        <v>119</v>
      </c>
      <c r="D24" s="18" t="s">
        <v>204</v>
      </c>
      <c r="E24" s="21">
        <v>7.65</v>
      </c>
      <c r="F24" s="18">
        <v>0.71</v>
      </c>
      <c r="G24" s="18">
        <v>0.31</v>
      </c>
    </row>
    <row r="25">
      <c r="A25" s="18" t="s">
        <v>121</v>
      </c>
      <c r="B25" s="18" t="s">
        <v>122</v>
      </c>
      <c r="C25" s="18" t="s">
        <v>123</v>
      </c>
      <c r="D25" s="18" t="s">
        <v>205</v>
      </c>
      <c r="E25" s="21">
        <v>8.03</v>
      </c>
      <c r="F25" s="18">
        <v>0.66</v>
      </c>
      <c r="G25" s="18">
        <v>0.24</v>
      </c>
    </row>
    <row r="26">
      <c r="A26" s="18" t="s">
        <v>125</v>
      </c>
      <c r="B26" s="18" t="s">
        <v>126</v>
      </c>
      <c r="C26" s="18" t="s">
        <v>127</v>
      </c>
      <c r="D26" s="18" t="s">
        <v>206</v>
      </c>
      <c r="E26" s="21">
        <v>8.04</v>
      </c>
      <c r="F26" s="18">
        <v>0.7</v>
      </c>
      <c r="G26" s="18">
        <v>0.26</v>
      </c>
    </row>
    <row r="27">
      <c r="A27" s="18" t="s">
        <v>130</v>
      </c>
      <c r="B27" s="20"/>
      <c r="C27" s="18" t="s">
        <v>32</v>
      </c>
      <c r="D27" s="18" t="s">
        <v>207</v>
      </c>
      <c r="E27" s="21">
        <v>1.87</v>
      </c>
      <c r="F27" s="18">
        <v>0.64</v>
      </c>
      <c r="G27" s="18">
        <v>0.0</v>
      </c>
    </row>
    <row r="28">
      <c r="A28" s="18" t="s">
        <v>132</v>
      </c>
      <c r="B28" s="18" t="s">
        <v>133</v>
      </c>
      <c r="C28" s="18" t="s">
        <v>134</v>
      </c>
      <c r="D28" s="18" t="s">
        <v>208</v>
      </c>
      <c r="E28" s="21">
        <v>8.02</v>
      </c>
      <c r="F28" s="18">
        <v>0.71</v>
      </c>
      <c r="G28" s="18">
        <v>0.18</v>
      </c>
    </row>
    <row r="29">
      <c r="A29" s="18" t="s">
        <v>136</v>
      </c>
      <c r="B29" s="18" t="s">
        <v>137</v>
      </c>
      <c r="C29" s="18" t="s">
        <v>138</v>
      </c>
      <c r="D29" s="18" t="s">
        <v>209</v>
      </c>
      <c r="E29" s="21">
        <v>2.44</v>
      </c>
      <c r="F29" s="18">
        <v>0.91</v>
      </c>
      <c r="G29" s="18">
        <v>0.7</v>
      </c>
    </row>
    <row r="30">
      <c r="A30" s="18" t="s">
        <v>140</v>
      </c>
      <c r="B30" s="18" t="s">
        <v>141</v>
      </c>
      <c r="C30" s="18" t="s">
        <v>142</v>
      </c>
      <c r="D30" s="18" t="s">
        <v>210</v>
      </c>
      <c r="E30" s="21">
        <v>3.17</v>
      </c>
      <c r="F30" s="18">
        <v>0.79</v>
      </c>
      <c r="G30" s="18">
        <v>0.32</v>
      </c>
    </row>
    <row r="31">
      <c r="A31" s="18" t="s">
        <v>144</v>
      </c>
      <c r="B31" s="18" t="s">
        <v>145</v>
      </c>
      <c r="C31" s="18" t="s">
        <v>146</v>
      </c>
      <c r="D31" s="18" t="s">
        <v>211</v>
      </c>
      <c r="E31" s="21">
        <v>7.98</v>
      </c>
      <c r="F31" s="18">
        <v>0.75</v>
      </c>
      <c r="G31" s="18">
        <v>0.25</v>
      </c>
    </row>
    <row r="32">
      <c r="A32" s="11"/>
      <c r="B32" s="11"/>
      <c r="C32" s="11"/>
      <c r="D32" s="11"/>
      <c r="E32" s="11"/>
      <c r="F32" s="11"/>
      <c r="G32" s="11"/>
    </row>
    <row r="33">
      <c r="A33" s="11"/>
      <c r="B33" s="11"/>
      <c r="C33" s="11"/>
      <c r="D33" s="11"/>
      <c r="E33" s="22">
        <f>SUM(E2:E31)</f>
        <v>199.9</v>
      </c>
      <c r="F33" s="11"/>
      <c r="G33" s="11"/>
    </row>
    <row r="34">
      <c r="A34" s="11"/>
      <c r="B34" s="11"/>
      <c r="C34" s="11"/>
      <c r="D34" s="11"/>
      <c r="E34" s="11"/>
      <c r="F34" s="11"/>
      <c r="G34" s="11"/>
    </row>
    <row r="35">
      <c r="A35" s="11"/>
      <c r="B35" s="11"/>
      <c r="C35" s="11"/>
      <c r="D35" s="11"/>
      <c r="E35" s="11"/>
      <c r="F35" s="11"/>
      <c r="G35" s="11"/>
    </row>
    <row r="36">
      <c r="A36" s="11"/>
      <c r="B36" s="11"/>
      <c r="C36" s="11"/>
      <c r="D36" s="11"/>
      <c r="E36" s="11"/>
      <c r="F36" s="11"/>
      <c r="G36" s="11"/>
    </row>
    <row r="37">
      <c r="A37" s="11"/>
      <c r="B37" s="11"/>
      <c r="C37" s="11"/>
      <c r="D37" s="11"/>
      <c r="E37" s="11"/>
      <c r="F37" s="11"/>
      <c r="G37" s="11"/>
    </row>
    <row r="38">
      <c r="A38" s="11"/>
      <c r="B38" s="11"/>
      <c r="C38" s="11"/>
      <c r="D38" s="11"/>
      <c r="E38" s="11"/>
      <c r="F38" s="11"/>
      <c r="G38" s="11"/>
    </row>
    <row r="39">
      <c r="A39" s="11"/>
      <c r="B39" s="11"/>
      <c r="C39" s="11"/>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row r="45">
      <c r="A45" s="11"/>
      <c r="B45" s="11"/>
      <c r="C45" s="11"/>
      <c r="D45" s="11"/>
      <c r="E45" s="11"/>
      <c r="F45" s="11"/>
      <c r="G45" s="11"/>
    </row>
    <row r="46">
      <c r="A46" s="11"/>
      <c r="B46" s="11"/>
      <c r="C46" s="11"/>
      <c r="D46" s="11"/>
      <c r="E46" s="11"/>
      <c r="F46" s="11"/>
      <c r="G46" s="11"/>
    </row>
    <row r="47">
      <c r="A47" s="11"/>
      <c r="B47" s="11"/>
      <c r="C47" s="11"/>
      <c r="D47" s="11"/>
      <c r="E47" s="11"/>
      <c r="F47" s="11"/>
      <c r="G47" s="11"/>
    </row>
    <row r="48">
      <c r="A48" s="11"/>
      <c r="B48" s="11"/>
      <c r="C48" s="11"/>
      <c r="D48" s="11"/>
      <c r="E48" s="11"/>
      <c r="F48" s="11"/>
      <c r="G48" s="11"/>
    </row>
    <row r="49">
      <c r="A49" s="11"/>
      <c r="B49" s="11"/>
      <c r="C49" s="11"/>
      <c r="D49" s="11"/>
      <c r="E49" s="11"/>
      <c r="F49" s="11"/>
      <c r="G49" s="11"/>
    </row>
    <row r="50">
      <c r="A50" s="11"/>
      <c r="B50" s="11"/>
      <c r="C50" s="11"/>
      <c r="D50" s="11"/>
      <c r="E50" s="11"/>
      <c r="F50" s="11"/>
      <c r="G50" s="11"/>
    </row>
    <row r="51">
      <c r="A51" s="11"/>
      <c r="B51" s="11"/>
      <c r="C51" s="11"/>
      <c r="D51" s="11"/>
      <c r="E51" s="11"/>
      <c r="F51" s="11"/>
      <c r="G51" s="11"/>
    </row>
    <row r="52">
      <c r="A52" s="11"/>
      <c r="B52" s="11"/>
      <c r="C52" s="11"/>
      <c r="D52" s="11"/>
      <c r="E52" s="11"/>
      <c r="F52" s="11"/>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row r="82">
      <c r="A82" s="11"/>
      <c r="B82" s="11"/>
      <c r="C82" s="11"/>
      <c r="D82" s="11"/>
      <c r="E82" s="11"/>
      <c r="F82" s="11"/>
      <c r="G82" s="11"/>
    </row>
    <row r="83">
      <c r="A83" s="11"/>
      <c r="B83" s="11"/>
      <c r="C83" s="11"/>
      <c r="D83" s="11"/>
      <c r="E83" s="11"/>
      <c r="F83" s="11"/>
      <c r="G83" s="11"/>
    </row>
    <row r="84">
      <c r="A84" s="11"/>
      <c r="B84" s="11"/>
      <c r="C84" s="11"/>
      <c r="D84" s="11"/>
      <c r="E84" s="11"/>
      <c r="F84" s="11"/>
      <c r="G84" s="11"/>
    </row>
    <row r="85">
      <c r="A85" s="11"/>
      <c r="B85" s="11"/>
      <c r="C85" s="11"/>
      <c r="D85" s="11"/>
      <c r="E85" s="11"/>
      <c r="F85" s="11"/>
      <c r="G85" s="11"/>
    </row>
    <row r="86">
      <c r="A86" s="11"/>
      <c r="B86" s="11"/>
      <c r="C86" s="11"/>
      <c r="D86" s="11"/>
      <c r="E86" s="11"/>
      <c r="F86" s="11"/>
      <c r="G86" s="11"/>
    </row>
    <row r="87">
      <c r="A87" s="11"/>
      <c r="B87" s="11"/>
      <c r="C87" s="11"/>
      <c r="D87" s="11"/>
      <c r="E87" s="11"/>
      <c r="F87" s="11"/>
      <c r="G87" s="11"/>
    </row>
    <row r="88">
      <c r="A88" s="11"/>
      <c r="B88" s="11"/>
      <c r="C88" s="11"/>
      <c r="D88" s="11"/>
      <c r="E88" s="11"/>
      <c r="F88" s="11"/>
      <c r="G88" s="11"/>
    </row>
    <row r="89">
      <c r="A89" s="11"/>
      <c r="B89" s="11"/>
      <c r="C89" s="11"/>
      <c r="D89" s="11"/>
      <c r="E89" s="11"/>
      <c r="F89" s="11"/>
      <c r="G89" s="11"/>
    </row>
    <row r="90">
      <c r="A90" s="11"/>
      <c r="B90" s="11"/>
      <c r="C90" s="11"/>
      <c r="D90" s="11"/>
      <c r="E90" s="11"/>
      <c r="F90" s="11"/>
      <c r="G90" s="11"/>
    </row>
    <row r="91">
      <c r="A91" s="11"/>
      <c r="B91" s="11"/>
      <c r="C91" s="11"/>
      <c r="D91" s="11"/>
      <c r="E91" s="11"/>
      <c r="F91" s="11"/>
      <c r="G91" s="11"/>
    </row>
    <row r="92">
      <c r="A92" s="11"/>
      <c r="B92" s="11"/>
      <c r="C92" s="11"/>
      <c r="D92" s="11"/>
      <c r="E92" s="11"/>
      <c r="F92" s="11"/>
      <c r="G92" s="11"/>
    </row>
    <row r="93">
      <c r="A93" s="11"/>
      <c r="B93" s="11"/>
      <c r="C93" s="11"/>
      <c r="D93" s="11"/>
      <c r="E93" s="11"/>
      <c r="F93" s="11"/>
      <c r="G93" s="11"/>
    </row>
    <row r="94">
      <c r="A94" s="11"/>
      <c r="B94" s="11"/>
      <c r="C94" s="11"/>
      <c r="D94" s="11"/>
      <c r="E94" s="11"/>
      <c r="F94" s="11"/>
      <c r="G94" s="11"/>
    </row>
    <row r="95">
      <c r="A95" s="11"/>
      <c r="B95" s="11"/>
      <c r="C95" s="11"/>
      <c r="D95" s="11"/>
      <c r="E95" s="11"/>
      <c r="F95" s="11"/>
      <c r="G95" s="11"/>
    </row>
    <row r="96">
      <c r="A96" s="11"/>
      <c r="B96" s="11"/>
      <c r="C96" s="11"/>
      <c r="D96" s="11"/>
      <c r="E96" s="11"/>
      <c r="F96" s="11"/>
      <c r="G96" s="11"/>
    </row>
    <row r="97">
      <c r="A97" s="11"/>
      <c r="B97" s="11"/>
      <c r="C97" s="11"/>
      <c r="D97" s="11"/>
      <c r="E97" s="11"/>
      <c r="F97" s="11"/>
      <c r="G97" s="11"/>
    </row>
    <row r="98">
      <c r="A98" s="11"/>
      <c r="B98" s="11"/>
      <c r="C98" s="11"/>
      <c r="D98" s="11"/>
      <c r="E98" s="11"/>
      <c r="F98" s="11"/>
      <c r="G98" s="11"/>
    </row>
    <row r="99">
      <c r="A99" s="11"/>
      <c r="B99" s="11"/>
      <c r="C99" s="11"/>
      <c r="D99" s="11"/>
      <c r="E99" s="11"/>
      <c r="F99" s="11"/>
      <c r="G99" s="11"/>
    </row>
    <row r="100">
      <c r="A100" s="11"/>
      <c r="B100" s="11"/>
      <c r="C100" s="11"/>
      <c r="D100" s="11"/>
      <c r="E100" s="11"/>
      <c r="F100" s="11"/>
      <c r="G100" s="11"/>
    </row>
    <row r="101">
      <c r="A101" s="11"/>
      <c r="B101" s="11"/>
      <c r="C101" s="11"/>
      <c r="D101" s="11"/>
      <c r="E101" s="11"/>
      <c r="F101" s="11"/>
      <c r="G101" s="11"/>
    </row>
    <row r="102">
      <c r="A102" s="11"/>
      <c r="B102" s="11"/>
      <c r="C102" s="11"/>
      <c r="D102" s="11"/>
      <c r="E102" s="11"/>
      <c r="F102" s="11"/>
      <c r="G102" s="11"/>
    </row>
    <row r="103">
      <c r="A103" s="11"/>
      <c r="B103" s="11"/>
      <c r="C103" s="11"/>
      <c r="D103" s="11"/>
      <c r="E103" s="11"/>
      <c r="F103" s="11"/>
      <c r="G103" s="11"/>
    </row>
    <row r="104">
      <c r="A104" s="11"/>
      <c r="B104" s="11"/>
      <c r="C104" s="11"/>
      <c r="D104" s="11"/>
      <c r="E104" s="11"/>
      <c r="F104" s="11"/>
      <c r="G104" s="11"/>
    </row>
    <row r="105">
      <c r="A105" s="11"/>
      <c r="B105" s="11"/>
      <c r="C105" s="11"/>
      <c r="D105" s="11"/>
      <c r="E105" s="11"/>
      <c r="F105" s="11"/>
      <c r="G105" s="11"/>
    </row>
    <row r="106">
      <c r="A106" s="11"/>
      <c r="B106" s="11"/>
      <c r="C106" s="11"/>
      <c r="D106" s="11"/>
      <c r="E106" s="11"/>
      <c r="F106" s="11"/>
      <c r="G106" s="11"/>
    </row>
    <row r="107">
      <c r="A107" s="11"/>
      <c r="B107" s="11"/>
      <c r="C107" s="11"/>
      <c r="D107" s="11"/>
      <c r="E107" s="11"/>
      <c r="F107" s="11"/>
      <c r="G107" s="11"/>
    </row>
    <row r="108">
      <c r="A108" s="11"/>
      <c r="B108" s="11"/>
      <c r="C108" s="11"/>
      <c r="D108" s="11"/>
      <c r="E108" s="11"/>
      <c r="F108" s="11"/>
      <c r="G108" s="11"/>
    </row>
    <row r="109">
      <c r="A109" s="11"/>
      <c r="B109" s="11"/>
      <c r="C109" s="11"/>
      <c r="D109" s="11"/>
      <c r="E109" s="11"/>
      <c r="F109" s="11"/>
      <c r="G109" s="11"/>
    </row>
    <row r="110">
      <c r="A110" s="11"/>
      <c r="B110" s="11"/>
      <c r="C110" s="11"/>
      <c r="D110" s="11"/>
      <c r="E110" s="11"/>
      <c r="F110" s="11"/>
      <c r="G110" s="11"/>
    </row>
    <row r="111">
      <c r="A111" s="11"/>
      <c r="B111" s="11"/>
      <c r="C111" s="11"/>
      <c r="D111" s="11"/>
      <c r="E111" s="11"/>
      <c r="F111" s="11"/>
      <c r="G111" s="11"/>
    </row>
    <row r="112">
      <c r="A112" s="11"/>
      <c r="B112" s="11"/>
      <c r="C112" s="11"/>
      <c r="D112" s="11"/>
      <c r="E112" s="11"/>
      <c r="F112" s="11"/>
      <c r="G112" s="11"/>
    </row>
    <row r="113">
      <c r="A113" s="11"/>
      <c r="B113" s="11"/>
      <c r="C113" s="11"/>
      <c r="D113" s="11"/>
      <c r="E113" s="11"/>
      <c r="F113" s="11"/>
      <c r="G113" s="11"/>
    </row>
    <row r="114">
      <c r="A114" s="11"/>
      <c r="B114" s="11"/>
      <c r="C114" s="11"/>
      <c r="D114" s="11"/>
      <c r="E114" s="11"/>
      <c r="F114" s="11"/>
      <c r="G114" s="11"/>
    </row>
    <row r="115">
      <c r="A115" s="11"/>
      <c r="B115" s="11"/>
      <c r="C115" s="11"/>
      <c r="D115" s="11"/>
      <c r="E115" s="11"/>
      <c r="F115" s="11"/>
      <c r="G115" s="11"/>
    </row>
    <row r="116">
      <c r="A116" s="11"/>
      <c r="B116" s="11"/>
      <c r="C116" s="11"/>
      <c r="D116" s="11"/>
      <c r="E116" s="11"/>
      <c r="F116" s="11"/>
      <c r="G116" s="11"/>
    </row>
    <row r="117">
      <c r="A117" s="11"/>
      <c r="B117" s="11"/>
      <c r="C117" s="11"/>
      <c r="D117" s="11"/>
      <c r="E117" s="11"/>
      <c r="F117" s="11"/>
      <c r="G117" s="11"/>
    </row>
    <row r="118">
      <c r="A118" s="11"/>
      <c r="B118" s="11"/>
      <c r="C118" s="11"/>
      <c r="D118" s="11"/>
      <c r="E118" s="11"/>
      <c r="F118" s="11"/>
      <c r="G118" s="11"/>
    </row>
    <row r="119">
      <c r="A119" s="11"/>
      <c r="B119" s="11"/>
      <c r="C119" s="11"/>
      <c r="D119" s="11"/>
      <c r="E119" s="11"/>
      <c r="F119" s="11"/>
      <c r="G119" s="11"/>
    </row>
    <row r="120">
      <c r="A120" s="11"/>
      <c r="B120" s="11"/>
      <c r="C120" s="11"/>
      <c r="D120" s="11"/>
      <c r="E120" s="11"/>
      <c r="F120" s="11"/>
      <c r="G120" s="11"/>
    </row>
    <row r="121">
      <c r="A121" s="11"/>
      <c r="B121" s="11"/>
      <c r="C121" s="11"/>
      <c r="D121" s="11"/>
      <c r="E121" s="11"/>
      <c r="F121" s="11"/>
      <c r="G121" s="11"/>
    </row>
    <row r="122">
      <c r="A122" s="11"/>
      <c r="B122" s="11"/>
      <c r="C122" s="11"/>
      <c r="D122" s="11"/>
      <c r="E122" s="11"/>
      <c r="F122" s="11"/>
      <c r="G122" s="11"/>
    </row>
    <row r="123">
      <c r="A123" s="11"/>
      <c r="B123" s="11"/>
      <c r="C123" s="11"/>
      <c r="D123" s="11"/>
      <c r="E123" s="11"/>
      <c r="F123" s="11"/>
      <c r="G123" s="11"/>
    </row>
    <row r="124">
      <c r="A124" s="11"/>
      <c r="B124" s="11"/>
      <c r="C124" s="11"/>
      <c r="D124" s="11"/>
      <c r="E124" s="11"/>
      <c r="F124" s="11"/>
      <c r="G124" s="11"/>
    </row>
    <row r="125">
      <c r="A125" s="11"/>
      <c r="B125" s="11"/>
      <c r="C125" s="11"/>
      <c r="D125" s="11"/>
      <c r="E125" s="11"/>
      <c r="F125" s="11"/>
      <c r="G125" s="11"/>
    </row>
    <row r="126">
      <c r="A126" s="11"/>
      <c r="B126" s="11"/>
      <c r="C126" s="11"/>
      <c r="D126" s="11"/>
      <c r="E126" s="11"/>
      <c r="F126" s="11"/>
      <c r="G126" s="11"/>
    </row>
    <row r="127">
      <c r="A127" s="11"/>
      <c r="B127" s="11"/>
      <c r="C127" s="11"/>
      <c r="D127" s="11"/>
      <c r="E127" s="11"/>
      <c r="F127" s="11"/>
      <c r="G127" s="11"/>
    </row>
    <row r="128">
      <c r="A128" s="11"/>
      <c r="B128" s="11"/>
      <c r="C128" s="11"/>
      <c r="D128" s="11"/>
      <c r="E128" s="11"/>
      <c r="F128" s="11"/>
      <c r="G128" s="11"/>
    </row>
    <row r="129">
      <c r="A129" s="11"/>
      <c r="B129" s="11"/>
      <c r="C129" s="11"/>
      <c r="D129" s="11"/>
      <c r="E129" s="11"/>
      <c r="F129" s="11"/>
      <c r="G129" s="11"/>
    </row>
    <row r="130">
      <c r="A130" s="11"/>
      <c r="B130" s="11"/>
      <c r="C130" s="11"/>
      <c r="D130" s="11"/>
      <c r="E130" s="11"/>
      <c r="F130" s="11"/>
      <c r="G130" s="11"/>
    </row>
    <row r="131">
      <c r="A131" s="11"/>
      <c r="B131" s="11"/>
      <c r="C131" s="11"/>
      <c r="D131" s="11"/>
      <c r="E131" s="11"/>
      <c r="F131" s="11"/>
      <c r="G131" s="11"/>
    </row>
    <row r="132">
      <c r="A132" s="11"/>
      <c r="B132" s="11"/>
      <c r="C132" s="11"/>
      <c r="D132" s="11"/>
      <c r="E132" s="11"/>
      <c r="F132" s="11"/>
      <c r="G132" s="11"/>
    </row>
    <row r="133">
      <c r="A133" s="11"/>
      <c r="B133" s="11"/>
      <c r="C133" s="11"/>
      <c r="D133" s="11"/>
      <c r="E133" s="11"/>
      <c r="F133" s="11"/>
      <c r="G133" s="11"/>
    </row>
    <row r="134">
      <c r="A134" s="11"/>
      <c r="B134" s="11"/>
      <c r="C134" s="11"/>
      <c r="D134" s="11"/>
      <c r="E134" s="11"/>
      <c r="F134" s="11"/>
      <c r="G134" s="11"/>
    </row>
    <row r="135">
      <c r="A135" s="11"/>
      <c r="B135" s="11"/>
      <c r="C135" s="11"/>
      <c r="D135" s="11"/>
      <c r="E135" s="11"/>
      <c r="F135" s="11"/>
      <c r="G135" s="11"/>
    </row>
    <row r="136">
      <c r="A136" s="11"/>
      <c r="B136" s="11"/>
      <c r="C136" s="11"/>
      <c r="D136" s="11"/>
      <c r="E136" s="11"/>
      <c r="F136" s="11"/>
      <c r="G136" s="11"/>
    </row>
    <row r="137">
      <c r="A137" s="11"/>
      <c r="B137" s="11"/>
      <c r="C137" s="11"/>
      <c r="D137" s="11"/>
      <c r="E137" s="11"/>
      <c r="F137" s="11"/>
      <c r="G137" s="11"/>
    </row>
    <row r="138">
      <c r="A138" s="11"/>
      <c r="B138" s="11"/>
      <c r="C138" s="11"/>
      <c r="D138" s="11"/>
      <c r="E138" s="11"/>
      <c r="F138" s="11"/>
      <c r="G138" s="11"/>
    </row>
    <row r="139">
      <c r="A139" s="11"/>
      <c r="B139" s="11"/>
      <c r="C139" s="11"/>
      <c r="D139" s="11"/>
      <c r="E139" s="11"/>
      <c r="F139" s="11"/>
      <c r="G139" s="11"/>
    </row>
    <row r="140">
      <c r="A140" s="11"/>
      <c r="B140" s="11"/>
      <c r="C140" s="11"/>
      <c r="D140" s="11"/>
      <c r="E140" s="11"/>
      <c r="F140" s="11"/>
      <c r="G140" s="11"/>
    </row>
    <row r="141">
      <c r="A141" s="11"/>
      <c r="B141" s="11"/>
      <c r="C141" s="11"/>
      <c r="D141" s="11"/>
      <c r="E141" s="11"/>
      <c r="F141" s="11"/>
      <c r="G141" s="11"/>
    </row>
    <row r="142">
      <c r="A142" s="11"/>
      <c r="B142" s="11"/>
      <c r="C142" s="11"/>
      <c r="D142" s="11"/>
      <c r="E142" s="11"/>
      <c r="F142" s="11"/>
      <c r="G142" s="11"/>
    </row>
    <row r="143">
      <c r="A143" s="11"/>
      <c r="B143" s="11"/>
      <c r="C143" s="11"/>
      <c r="D143" s="11"/>
      <c r="E143" s="11"/>
      <c r="F143" s="11"/>
      <c r="G143" s="11"/>
    </row>
    <row r="144">
      <c r="A144" s="11"/>
      <c r="B144" s="11"/>
      <c r="C144" s="11"/>
      <c r="D144" s="11"/>
      <c r="E144" s="11"/>
      <c r="F144" s="11"/>
      <c r="G144" s="11"/>
    </row>
    <row r="145">
      <c r="A145" s="11"/>
      <c r="B145" s="11"/>
      <c r="C145" s="11"/>
      <c r="D145" s="11"/>
      <c r="E145" s="11"/>
      <c r="F145" s="11"/>
      <c r="G145" s="11"/>
    </row>
    <row r="146">
      <c r="A146" s="11"/>
      <c r="B146" s="11"/>
      <c r="C146" s="11"/>
      <c r="D146" s="11"/>
      <c r="E146" s="11"/>
      <c r="F146" s="11"/>
      <c r="G146" s="11"/>
    </row>
    <row r="147">
      <c r="A147" s="11"/>
      <c r="B147" s="11"/>
      <c r="C147" s="11"/>
      <c r="D147" s="11"/>
      <c r="E147" s="11"/>
      <c r="F147" s="11"/>
      <c r="G147" s="11"/>
    </row>
    <row r="148">
      <c r="A148" s="11"/>
      <c r="B148" s="11"/>
      <c r="C148" s="11"/>
      <c r="D148" s="11"/>
      <c r="E148" s="11"/>
      <c r="F148" s="11"/>
      <c r="G148" s="11"/>
    </row>
    <row r="149">
      <c r="A149" s="11"/>
      <c r="B149" s="11"/>
      <c r="C149" s="11"/>
      <c r="D149" s="11"/>
      <c r="E149" s="11"/>
      <c r="F149" s="11"/>
      <c r="G149" s="11"/>
    </row>
    <row r="150">
      <c r="A150" s="11"/>
      <c r="B150" s="11"/>
      <c r="C150" s="11"/>
      <c r="D150" s="11"/>
      <c r="E150" s="11"/>
      <c r="F150" s="11"/>
      <c r="G150" s="11"/>
    </row>
    <row r="151">
      <c r="A151" s="11"/>
      <c r="B151" s="11"/>
      <c r="C151" s="11"/>
      <c r="D151" s="11"/>
      <c r="E151" s="11"/>
      <c r="F151" s="11"/>
      <c r="G151" s="11"/>
    </row>
    <row r="152">
      <c r="A152" s="11"/>
      <c r="B152" s="11"/>
      <c r="C152" s="11"/>
      <c r="D152" s="11"/>
      <c r="E152" s="11"/>
      <c r="F152" s="11"/>
      <c r="G152" s="11"/>
    </row>
    <row r="153">
      <c r="A153" s="11"/>
      <c r="B153" s="11"/>
      <c r="C153" s="11"/>
      <c r="D153" s="11"/>
      <c r="E153" s="11"/>
      <c r="F153" s="11"/>
      <c r="G153" s="11"/>
    </row>
    <row r="154">
      <c r="A154" s="11"/>
      <c r="B154" s="11"/>
      <c r="C154" s="11"/>
      <c r="D154" s="11"/>
      <c r="E154" s="11"/>
      <c r="F154" s="11"/>
      <c r="G154" s="11"/>
    </row>
    <row r="155">
      <c r="A155" s="11"/>
      <c r="B155" s="11"/>
      <c r="C155" s="11"/>
      <c r="D155" s="11"/>
      <c r="E155" s="11"/>
      <c r="F155" s="11"/>
      <c r="G155" s="11"/>
    </row>
    <row r="156">
      <c r="A156" s="11"/>
      <c r="B156" s="11"/>
      <c r="C156" s="11"/>
      <c r="D156" s="11"/>
      <c r="E156" s="11"/>
      <c r="F156" s="11"/>
      <c r="G156" s="11"/>
    </row>
    <row r="157">
      <c r="A157" s="11"/>
      <c r="B157" s="11"/>
      <c r="C157" s="11"/>
      <c r="D157" s="11"/>
      <c r="E157" s="11"/>
      <c r="F157" s="11"/>
      <c r="G157" s="11"/>
    </row>
    <row r="158">
      <c r="A158" s="11"/>
      <c r="B158" s="11"/>
      <c r="C158" s="11"/>
      <c r="D158" s="11"/>
      <c r="E158" s="11"/>
      <c r="F158" s="11"/>
      <c r="G158" s="11"/>
    </row>
    <row r="159">
      <c r="A159" s="11"/>
      <c r="B159" s="11"/>
      <c r="C159" s="11"/>
      <c r="D159" s="11"/>
      <c r="E159" s="11"/>
      <c r="F159" s="11"/>
      <c r="G159" s="11"/>
    </row>
    <row r="160">
      <c r="A160" s="11"/>
      <c r="B160" s="11"/>
      <c r="C160" s="11"/>
      <c r="D160" s="11"/>
      <c r="E160" s="11"/>
      <c r="F160" s="11"/>
      <c r="G160" s="11"/>
    </row>
    <row r="161">
      <c r="A161" s="11"/>
      <c r="B161" s="11"/>
      <c r="C161" s="11"/>
      <c r="D161" s="11"/>
      <c r="E161" s="11"/>
      <c r="F161" s="11"/>
      <c r="G161" s="11"/>
    </row>
    <row r="162">
      <c r="A162" s="11"/>
      <c r="B162" s="11"/>
      <c r="C162" s="11"/>
      <c r="D162" s="11"/>
      <c r="E162" s="11"/>
      <c r="F162" s="11"/>
      <c r="G162" s="11"/>
    </row>
    <row r="163">
      <c r="A163" s="11"/>
      <c r="B163" s="11"/>
      <c r="C163" s="11"/>
      <c r="D163" s="11"/>
      <c r="E163" s="11"/>
      <c r="F163" s="11"/>
      <c r="G163" s="11"/>
    </row>
    <row r="164">
      <c r="A164" s="11"/>
      <c r="B164" s="11"/>
      <c r="C164" s="11"/>
      <c r="D164" s="11"/>
      <c r="E164" s="11"/>
      <c r="F164" s="11"/>
      <c r="G164" s="11"/>
    </row>
    <row r="165">
      <c r="A165" s="11"/>
      <c r="B165" s="11"/>
      <c r="C165" s="11"/>
      <c r="D165" s="11"/>
      <c r="E165" s="11"/>
      <c r="F165" s="11"/>
      <c r="G165" s="11"/>
    </row>
    <row r="166">
      <c r="A166" s="11"/>
      <c r="B166" s="11"/>
      <c r="C166" s="11"/>
      <c r="D166" s="11"/>
      <c r="E166" s="11"/>
      <c r="F166" s="11"/>
      <c r="G166" s="11"/>
    </row>
    <row r="167">
      <c r="A167" s="11"/>
      <c r="B167" s="11"/>
      <c r="C167" s="11"/>
      <c r="D167" s="11"/>
      <c r="E167" s="11"/>
      <c r="F167" s="11"/>
      <c r="G167" s="11"/>
    </row>
    <row r="168">
      <c r="A168" s="11"/>
      <c r="B168" s="11"/>
      <c r="C168" s="11"/>
      <c r="D168" s="11"/>
      <c r="E168" s="11"/>
      <c r="F168" s="11"/>
      <c r="G168" s="11"/>
    </row>
    <row r="169">
      <c r="A169" s="11"/>
      <c r="B169" s="11"/>
      <c r="C169" s="11"/>
      <c r="D169" s="11"/>
      <c r="E169" s="11"/>
      <c r="F169" s="11"/>
      <c r="G169" s="11"/>
    </row>
    <row r="170">
      <c r="A170" s="11"/>
      <c r="B170" s="11"/>
      <c r="C170" s="11"/>
      <c r="D170" s="11"/>
      <c r="E170" s="11"/>
      <c r="F170" s="11"/>
      <c r="G170" s="11"/>
    </row>
    <row r="171">
      <c r="A171" s="11"/>
      <c r="B171" s="11"/>
      <c r="C171" s="11"/>
      <c r="D171" s="11"/>
      <c r="E171" s="11"/>
      <c r="F171" s="11"/>
      <c r="G171" s="11"/>
    </row>
    <row r="172">
      <c r="A172" s="11"/>
      <c r="B172" s="11"/>
      <c r="C172" s="11"/>
      <c r="D172" s="11"/>
      <c r="E172" s="11"/>
      <c r="F172" s="11"/>
      <c r="G172" s="11"/>
    </row>
    <row r="173">
      <c r="A173" s="11"/>
      <c r="B173" s="11"/>
      <c r="C173" s="11"/>
      <c r="D173" s="11"/>
      <c r="E173" s="11"/>
      <c r="F173" s="11"/>
      <c r="G173" s="11"/>
    </row>
    <row r="174">
      <c r="A174" s="11"/>
      <c r="B174" s="11"/>
      <c r="C174" s="11"/>
      <c r="D174" s="11"/>
      <c r="E174" s="11"/>
      <c r="F174" s="11"/>
      <c r="G174" s="11"/>
    </row>
    <row r="175">
      <c r="A175" s="11"/>
      <c r="B175" s="11"/>
      <c r="C175" s="11"/>
      <c r="D175" s="11"/>
      <c r="E175" s="11"/>
      <c r="F175" s="11"/>
      <c r="G175" s="11"/>
    </row>
    <row r="176">
      <c r="A176" s="11"/>
      <c r="B176" s="11"/>
      <c r="C176" s="11"/>
      <c r="D176" s="11"/>
      <c r="E176" s="11"/>
      <c r="F176" s="11"/>
      <c r="G176" s="11"/>
    </row>
    <row r="177">
      <c r="A177" s="11"/>
      <c r="B177" s="11"/>
      <c r="C177" s="11"/>
      <c r="D177" s="11"/>
      <c r="E177" s="11"/>
      <c r="F177" s="11"/>
      <c r="G177" s="11"/>
    </row>
    <row r="178">
      <c r="A178" s="11"/>
      <c r="B178" s="11"/>
      <c r="C178" s="11"/>
      <c r="D178" s="11"/>
      <c r="E178" s="11"/>
      <c r="F178" s="11"/>
      <c r="G178" s="11"/>
    </row>
    <row r="179">
      <c r="A179" s="11"/>
      <c r="B179" s="11"/>
      <c r="C179" s="11"/>
      <c r="D179" s="11"/>
      <c r="E179" s="11"/>
      <c r="F179" s="11"/>
      <c r="G179" s="11"/>
    </row>
    <row r="180">
      <c r="A180" s="11"/>
      <c r="B180" s="11"/>
      <c r="C180" s="11"/>
      <c r="D180" s="11"/>
      <c r="E180" s="11"/>
      <c r="F180" s="11"/>
      <c r="G180" s="11"/>
    </row>
    <row r="181">
      <c r="A181" s="11"/>
      <c r="B181" s="11"/>
      <c r="C181" s="11"/>
      <c r="D181" s="11"/>
      <c r="E181" s="11"/>
      <c r="F181" s="11"/>
      <c r="G181" s="11"/>
    </row>
    <row r="182">
      <c r="A182" s="11"/>
      <c r="B182" s="11"/>
      <c r="C182" s="11"/>
      <c r="D182" s="11"/>
      <c r="E182" s="11"/>
      <c r="F182" s="11"/>
      <c r="G182" s="11"/>
    </row>
    <row r="183">
      <c r="A183" s="11"/>
      <c r="B183" s="11"/>
      <c r="C183" s="11"/>
      <c r="D183" s="11"/>
      <c r="E183" s="11"/>
      <c r="F183" s="11"/>
      <c r="G183" s="11"/>
    </row>
    <row r="184">
      <c r="A184" s="11"/>
      <c r="B184" s="11"/>
      <c r="C184" s="11"/>
      <c r="D184" s="11"/>
      <c r="E184" s="11"/>
      <c r="F184" s="11"/>
      <c r="G184" s="11"/>
    </row>
    <row r="185">
      <c r="A185" s="11"/>
      <c r="B185" s="11"/>
      <c r="C185" s="11"/>
      <c r="D185" s="11"/>
      <c r="E185" s="11"/>
      <c r="F185" s="11"/>
      <c r="G185" s="11"/>
    </row>
    <row r="186">
      <c r="A186" s="11"/>
      <c r="B186" s="11"/>
      <c r="C186" s="11"/>
      <c r="D186" s="11"/>
      <c r="E186" s="11"/>
      <c r="F186" s="11"/>
      <c r="G186" s="11"/>
    </row>
    <row r="187">
      <c r="A187" s="11"/>
      <c r="B187" s="11"/>
      <c r="C187" s="11"/>
      <c r="D187" s="11"/>
      <c r="E187" s="11"/>
      <c r="F187" s="11"/>
      <c r="G187" s="11"/>
    </row>
    <row r="188">
      <c r="A188" s="11"/>
      <c r="B188" s="11"/>
      <c r="C188" s="11"/>
      <c r="D188" s="11"/>
      <c r="E188" s="11"/>
      <c r="F188" s="11"/>
      <c r="G188" s="11"/>
    </row>
    <row r="189">
      <c r="A189" s="11"/>
      <c r="B189" s="11"/>
      <c r="C189" s="11"/>
      <c r="D189" s="11"/>
      <c r="E189" s="11"/>
      <c r="F189" s="11"/>
      <c r="G189" s="11"/>
    </row>
    <row r="190">
      <c r="A190" s="11"/>
      <c r="B190" s="11"/>
      <c r="C190" s="11"/>
      <c r="D190" s="11"/>
      <c r="E190" s="11"/>
      <c r="F190" s="11"/>
      <c r="G190" s="11"/>
    </row>
    <row r="191">
      <c r="A191" s="11"/>
      <c r="B191" s="11"/>
      <c r="C191" s="11"/>
      <c r="D191" s="11"/>
      <c r="E191" s="11"/>
      <c r="F191" s="11"/>
      <c r="G191" s="11"/>
    </row>
    <row r="192">
      <c r="A192" s="11"/>
      <c r="B192" s="11"/>
      <c r="C192" s="11"/>
      <c r="D192" s="11"/>
      <c r="E192" s="11"/>
      <c r="F192" s="11"/>
      <c r="G192" s="11"/>
    </row>
    <row r="193">
      <c r="A193" s="11"/>
      <c r="B193" s="11"/>
      <c r="C193" s="11"/>
      <c r="D193" s="11"/>
      <c r="E193" s="11"/>
      <c r="F193" s="11"/>
      <c r="G193" s="11"/>
    </row>
    <row r="194">
      <c r="A194" s="11"/>
      <c r="B194" s="11"/>
      <c r="C194" s="11"/>
      <c r="D194" s="11"/>
      <c r="E194" s="11"/>
      <c r="F194" s="11"/>
      <c r="G194" s="11"/>
    </row>
    <row r="195">
      <c r="A195" s="11"/>
      <c r="B195" s="11"/>
      <c r="C195" s="11"/>
      <c r="D195" s="11"/>
      <c r="E195" s="11"/>
      <c r="F195" s="11"/>
      <c r="G195" s="11"/>
    </row>
    <row r="196">
      <c r="A196" s="11"/>
      <c r="B196" s="11"/>
      <c r="C196" s="11"/>
      <c r="D196" s="11"/>
      <c r="E196" s="11"/>
      <c r="F196" s="11"/>
      <c r="G196" s="11"/>
    </row>
    <row r="197">
      <c r="A197" s="11"/>
      <c r="B197" s="11"/>
      <c r="C197" s="11"/>
      <c r="D197" s="11"/>
      <c r="E197" s="11"/>
      <c r="F197" s="11"/>
      <c r="G197" s="11"/>
    </row>
    <row r="198">
      <c r="A198" s="11"/>
      <c r="B198" s="11"/>
      <c r="C198" s="11"/>
      <c r="D198" s="11"/>
      <c r="E198" s="11"/>
      <c r="F198" s="11"/>
      <c r="G198" s="11"/>
    </row>
    <row r="199">
      <c r="A199" s="11"/>
      <c r="B199" s="11"/>
      <c r="C199" s="11"/>
      <c r="D199" s="11"/>
      <c r="E199" s="11"/>
      <c r="F199" s="11"/>
      <c r="G199" s="11"/>
    </row>
    <row r="200">
      <c r="A200" s="11"/>
      <c r="B200" s="11"/>
      <c r="C200" s="11"/>
      <c r="D200" s="11"/>
      <c r="E200" s="11"/>
      <c r="F200" s="11"/>
      <c r="G200" s="11"/>
    </row>
    <row r="201">
      <c r="A201" s="11"/>
      <c r="B201" s="11"/>
      <c r="C201" s="11"/>
      <c r="D201" s="11"/>
      <c r="E201" s="11"/>
      <c r="F201" s="11"/>
      <c r="G201" s="11"/>
    </row>
    <row r="202">
      <c r="A202" s="11"/>
      <c r="B202" s="11"/>
      <c r="C202" s="11"/>
      <c r="D202" s="11"/>
      <c r="E202" s="11"/>
      <c r="F202" s="11"/>
      <c r="G202" s="11"/>
    </row>
    <row r="203">
      <c r="A203" s="11"/>
      <c r="B203" s="11"/>
      <c r="C203" s="11"/>
      <c r="D203" s="11"/>
      <c r="E203" s="11"/>
      <c r="F203" s="11"/>
      <c r="G203" s="11"/>
    </row>
    <row r="204">
      <c r="A204" s="11"/>
      <c r="B204" s="11"/>
      <c r="C204" s="11"/>
      <c r="D204" s="11"/>
      <c r="E204" s="11"/>
      <c r="F204" s="11"/>
      <c r="G204" s="11"/>
    </row>
    <row r="205">
      <c r="A205" s="11"/>
      <c r="B205" s="11"/>
      <c r="C205" s="11"/>
      <c r="D205" s="11"/>
      <c r="E205" s="11"/>
      <c r="F205" s="11"/>
      <c r="G205" s="11"/>
    </row>
    <row r="206">
      <c r="A206" s="11"/>
      <c r="B206" s="11"/>
      <c r="C206" s="11"/>
      <c r="D206" s="11"/>
      <c r="E206" s="11"/>
      <c r="F206" s="11"/>
      <c r="G206" s="11"/>
    </row>
    <row r="207">
      <c r="A207" s="11"/>
      <c r="B207" s="11"/>
      <c r="C207" s="11"/>
      <c r="D207" s="11"/>
      <c r="E207" s="11"/>
      <c r="F207" s="11"/>
      <c r="G207" s="11"/>
    </row>
    <row r="208">
      <c r="A208" s="11"/>
      <c r="B208" s="11"/>
      <c r="C208" s="11"/>
      <c r="D208" s="11"/>
      <c r="E208" s="11"/>
      <c r="F208" s="11"/>
      <c r="G208" s="11"/>
    </row>
    <row r="209">
      <c r="A209" s="11"/>
      <c r="B209" s="11"/>
      <c r="C209" s="11"/>
      <c r="D209" s="11"/>
      <c r="E209" s="11"/>
      <c r="F209" s="11"/>
      <c r="G209" s="11"/>
    </row>
    <row r="210">
      <c r="A210" s="11"/>
      <c r="B210" s="11"/>
      <c r="C210" s="11"/>
      <c r="D210" s="11"/>
      <c r="E210" s="11"/>
      <c r="F210" s="11"/>
      <c r="G210" s="11"/>
    </row>
    <row r="211">
      <c r="A211" s="11"/>
      <c r="B211" s="11"/>
      <c r="C211" s="11"/>
      <c r="D211" s="11"/>
      <c r="E211" s="11"/>
      <c r="F211" s="11"/>
      <c r="G211" s="11"/>
    </row>
    <row r="212">
      <c r="A212" s="11"/>
      <c r="B212" s="11"/>
      <c r="C212" s="11"/>
      <c r="D212" s="11"/>
      <c r="E212" s="11"/>
      <c r="F212" s="11"/>
      <c r="G212" s="11"/>
    </row>
    <row r="213">
      <c r="A213" s="11"/>
      <c r="B213" s="11"/>
      <c r="C213" s="11"/>
      <c r="D213" s="11"/>
      <c r="E213" s="11"/>
      <c r="F213" s="11"/>
      <c r="G213" s="11"/>
    </row>
    <row r="214">
      <c r="A214" s="11"/>
      <c r="B214" s="11"/>
      <c r="C214" s="11"/>
      <c r="D214" s="11"/>
      <c r="E214" s="11"/>
      <c r="F214" s="11"/>
      <c r="G214" s="11"/>
    </row>
    <row r="215">
      <c r="A215" s="11"/>
      <c r="B215" s="11"/>
      <c r="C215" s="11"/>
      <c r="D215" s="11"/>
      <c r="E215" s="11"/>
      <c r="F215" s="11"/>
      <c r="G215" s="11"/>
    </row>
    <row r="216">
      <c r="A216" s="11"/>
      <c r="B216" s="11"/>
      <c r="C216" s="11"/>
      <c r="D216" s="11"/>
      <c r="E216" s="11"/>
      <c r="F216" s="11"/>
      <c r="G216" s="11"/>
    </row>
    <row r="217">
      <c r="A217" s="11"/>
      <c r="B217" s="11"/>
      <c r="C217" s="11"/>
      <c r="D217" s="11"/>
      <c r="E217" s="11"/>
      <c r="F217" s="11"/>
      <c r="G217" s="11"/>
    </row>
    <row r="218">
      <c r="A218" s="11"/>
      <c r="B218" s="11"/>
      <c r="C218" s="11"/>
      <c r="D218" s="11"/>
      <c r="E218" s="11"/>
      <c r="F218" s="11"/>
      <c r="G218" s="11"/>
    </row>
    <row r="219">
      <c r="A219" s="11"/>
      <c r="B219" s="11"/>
      <c r="C219" s="11"/>
      <c r="D219" s="11"/>
      <c r="E219" s="11"/>
      <c r="F219" s="11"/>
      <c r="G219" s="11"/>
    </row>
    <row r="220">
      <c r="A220" s="11"/>
      <c r="B220" s="11"/>
      <c r="C220" s="11"/>
      <c r="D220" s="11"/>
      <c r="E220" s="11"/>
      <c r="F220" s="11"/>
      <c r="G220" s="11"/>
    </row>
    <row r="221">
      <c r="A221" s="11"/>
      <c r="B221" s="11"/>
      <c r="C221" s="11"/>
      <c r="D221" s="11"/>
      <c r="E221" s="11"/>
      <c r="F221" s="11"/>
      <c r="G221" s="11"/>
    </row>
    <row r="222">
      <c r="A222" s="11"/>
      <c r="B222" s="11"/>
      <c r="C222" s="11"/>
      <c r="D222" s="11"/>
      <c r="E222" s="11"/>
      <c r="F222" s="11"/>
      <c r="G222" s="11"/>
    </row>
    <row r="223">
      <c r="A223" s="11"/>
      <c r="B223" s="11"/>
      <c r="C223" s="11"/>
      <c r="D223" s="11"/>
      <c r="E223" s="11"/>
      <c r="F223" s="11"/>
      <c r="G223" s="11"/>
    </row>
    <row r="224">
      <c r="A224" s="11"/>
      <c r="B224" s="11"/>
      <c r="C224" s="11"/>
      <c r="D224" s="11"/>
      <c r="E224" s="11"/>
      <c r="F224" s="11"/>
      <c r="G224" s="11"/>
    </row>
    <row r="225">
      <c r="A225" s="11"/>
      <c r="B225" s="11"/>
      <c r="C225" s="11"/>
      <c r="D225" s="11"/>
      <c r="E225" s="11"/>
      <c r="F225" s="11"/>
      <c r="G225" s="11"/>
    </row>
    <row r="226">
      <c r="A226" s="11"/>
      <c r="B226" s="11"/>
      <c r="C226" s="11"/>
      <c r="D226" s="11"/>
      <c r="E226" s="11"/>
      <c r="F226" s="11"/>
      <c r="G226" s="11"/>
    </row>
    <row r="227">
      <c r="A227" s="11"/>
      <c r="B227" s="11"/>
      <c r="C227" s="11"/>
      <c r="D227" s="11"/>
      <c r="E227" s="11"/>
      <c r="F227" s="11"/>
      <c r="G227" s="11"/>
    </row>
    <row r="228">
      <c r="A228" s="11"/>
      <c r="B228" s="11"/>
      <c r="C228" s="11"/>
      <c r="D228" s="11"/>
      <c r="E228" s="11"/>
      <c r="F228" s="11"/>
      <c r="G228" s="11"/>
    </row>
    <row r="229">
      <c r="A229" s="11"/>
      <c r="B229" s="11"/>
      <c r="C229" s="11"/>
      <c r="D229" s="11"/>
      <c r="E229" s="11"/>
      <c r="F229" s="11"/>
      <c r="G229" s="11"/>
    </row>
    <row r="230">
      <c r="A230" s="11"/>
      <c r="B230" s="11"/>
      <c r="C230" s="11"/>
      <c r="D230" s="11"/>
      <c r="E230" s="11"/>
      <c r="F230" s="11"/>
      <c r="G230" s="11"/>
    </row>
    <row r="231">
      <c r="A231" s="11"/>
      <c r="B231" s="11"/>
      <c r="C231" s="11"/>
      <c r="D231" s="11"/>
      <c r="E231" s="11"/>
      <c r="F231" s="11"/>
      <c r="G231" s="11"/>
    </row>
    <row r="232">
      <c r="A232" s="11"/>
      <c r="B232" s="11"/>
      <c r="C232" s="11"/>
      <c r="D232" s="11"/>
      <c r="E232" s="11"/>
      <c r="F232" s="11"/>
      <c r="G232" s="11"/>
    </row>
    <row r="233">
      <c r="A233" s="11"/>
      <c r="B233" s="11"/>
      <c r="C233" s="11"/>
      <c r="D233" s="11"/>
      <c r="E233" s="11"/>
      <c r="F233" s="11"/>
      <c r="G233" s="11"/>
    </row>
    <row r="234">
      <c r="A234" s="11"/>
      <c r="B234" s="11"/>
      <c r="C234" s="11"/>
      <c r="D234" s="11"/>
      <c r="E234" s="11"/>
      <c r="F234" s="11"/>
      <c r="G234" s="11"/>
    </row>
    <row r="235">
      <c r="A235" s="11"/>
      <c r="B235" s="11"/>
      <c r="C235" s="11"/>
      <c r="D235" s="11"/>
      <c r="E235" s="11"/>
      <c r="F235" s="11"/>
      <c r="G235" s="11"/>
    </row>
    <row r="236">
      <c r="A236" s="11"/>
      <c r="B236" s="11"/>
      <c r="C236" s="11"/>
      <c r="D236" s="11"/>
      <c r="E236" s="11"/>
      <c r="F236" s="11"/>
      <c r="G236" s="11"/>
    </row>
    <row r="237">
      <c r="A237" s="11"/>
      <c r="B237" s="11"/>
      <c r="C237" s="11"/>
      <c r="D237" s="11"/>
      <c r="E237" s="11"/>
      <c r="F237" s="11"/>
      <c r="G237" s="11"/>
    </row>
    <row r="238">
      <c r="A238" s="11"/>
      <c r="B238" s="11"/>
      <c r="C238" s="11"/>
      <c r="D238" s="11"/>
      <c r="E238" s="11"/>
      <c r="F238" s="11"/>
      <c r="G238" s="11"/>
    </row>
    <row r="239">
      <c r="A239" s="11"/>
      <c r="B239" s="11"/>
      <c r="C239" s="11"/>
      <c r="D239" s="11"/>
      <c r="E239" s="11"/>
      <c r="F239" s="11"/>
      <c r="G239" s="11"/>
    </row>
    <row r="240">
      <c r="A240" s="11"/>
      <c r="B240" s="11"/>
      <c r="C240" s="11"/>
      <c r="D240" s="11"/>
      <c r="E240" s="11"/>
      <c r="F240" s="11"/>
      <c r="G240" s="11"/>
    </row>
    <row r="241">
      <c r="A241" s="11"/>
      <c r="B241" s="11"/>
      <c r="C241" s="11"/>
      <c r="D241" s="11"/>
      <c r="E241" s="11"/>
      <c r="F241" s="11"/>
      <c r="G241" s="11"/>
    </row>
    <row r="242">
      <c r="A242" s="11"/>
      <c r="B242" s="11"/>
      <c r="C242" s="11"/>
      <c r="D242" s="11"/>
      <c r="E242" s="11"/>
      <c r="F242" s="11"/>
      <c r="G242" s="11"/>
    </row>
    <row r="243">
      <c r="A243" s="11"/>
      <c r="B243" s="11"/>
      <c r="C243" s="11"/>
      <c r="D243" s="11"/>
      <c r="E243" s="11"/>
      <c r="F243" s="11"/>
      <c r="G243" s="11"/>
    </row>
    <row r="244">
      <c r="A244" s="11"/>
      <c r="B244" s="11"/>
      <c r="C244" s="11"/>
      <c r="D244" s="11"/>
      <c r="E244" s="11"/>
      <c r="F244" s="11"/>
      <c r="G244" s="11"/>
    </row>
    <row r="245">
      <c r="A245" s="11"/>
      <c r="B245" s="11"/>
      <c r="C245" s="11"/>
      <c r="D245" s="11"/>
      <c r="E245" s="11"/>
      <c r="F245" s="11"/>
      <c r="G245" s="11"/>
    </row>
    <row r="246">
      <c r="A246" s="11"/>
      <c r="B246" s="11"/>
      <c r="C246" s="11"/>
      <c r="D246" s="11"/>
      <c r="E246" s="11"/>
      <c r="F246" s="11"/>
      <c r="G246" s="11"/>
    </row>
    <row r="247">
      <c r="A247" s="11"/>
      <c r="B247" s="11"/>
      <c r="C247" s="11"/>
      <c r="D247" s="11"/>
      <c r="E247" s="11"/>
      <c r="F247" s="11"/>
      <c r="G247" s="11"/>
    </row>
    <row r="248">
      <c r="A248" s="11"/>
      <c r="B248" s="11"/>
      <c r="C248" s="11"/>
      <c r="D248" s="11"/>
      <c r="E248" s="11"/>
      <c r="F248" s="11"/>
      <c r="G248" s="11"/>
    </row>
    <row r="249">
      <c r="A249" s="11"/>
      <c r="B249" s="11"/>
      <c r="C249" s="11"/>
      <c r="D249" s="11"/>
      <c r="E249" s="11"/>
      <c r="F249" s="11"/>
      <c r="G249" s="11"/>
    </row>
    <row r="250">
      <c r="A250" s="11"/>
      <c r="B250" s="11"/>
      <c r="C250" s="11"/>
      <c r="D250" s="11"/>
      <c r="E250" s="11"/>
      <c r="F250" s="11"/>
      <c r="G250" s="11"/>
    </row>
    <row r="251">
      <c r="A251" s="11"/>
      <c r="B251" s="11"/>
      <c r="C251" s="11"/>
      <c r="D251" s="11"/>
      <c r="E251" s="11"/>
      <c r="F251" s="11"/>
      <c r="G251" s="11"/>
    </row>
    <row r="252">
      <c r="A252" s="11"/>
      <c r="B252" s="11"/>
      <c r="C252" s="11"/>
      <c r="D252" s="11"/>
      <c r="E252" s="11"/>
      <c r="F252" s="11"/>
      <c r="G252" s="11"/>
    </row>
    <row r="253">
      <c r="A253" s="11"/>
      <c r="B253" s="11"/>
      <c r="C253" s="11"/>
      <c r="D253" s="11"/>
      <c r="E253" s="11"/>
      <c r="F253" s="11"/>
      <c r="G253" s="11"/>
    </row>
    <row r="254">
      <c r="A254" s="11"/>
      <c r="B254" s="11"/>
      <c r="C254" s="11"/>
      <c r="D254" s="11"/>
      <c r="E254" s="11"/>
      <c r="F254" s="11"/>
      <c r="G254" s="11"/>
    </row>
    <row r="255">
      <c r="A255" s="11"/>
      <c r="B255" s="11"/>
      <c r="C255" s="11"/>
      <c r="D255" s="11"/>
      <c r="E255" s="11"/>
      <c r="F255" s="11"/>
      <c r="G255" s="11"/>
    </row>
    <row r="256">
      <c r="A256" s="11"/>
      <c r="B256" s="11"/>
      <c r="C256" s="11"/>
      <c r="D256" s="11"/>
      <c r="E256" s="11"/>
      <c r="F256" s="11"/>
      <c r="G256" s="11"/>
    </row>
    <row r="257">
      <c r="A257" s="11"/>
      <c r="B257" s="11"/>
      <c r="C257" s="11"/>
      <c r="D257" s="11"/>
      <c r="E257" s="11"/>
      <c r="F257" s="11"/>
      <c r="G257" s="11"/>
    </row>
    <row r="258">
      <c r="A258" s="11"/>
      <c r="B258" s="11"/>
      <c r="C258" s="11"/>
      <c r="D258" s="11"/>
      <c r="E258" s="11"/>
      <c r="F258" s="11"/>
      <c r="G258" s="11"/>
    </row>
    <row r="259">
      <c r="A259" s="11"/>
      <c r="B259" s="11"/>
      <c r="C259" s="11"/>
      <c r="D259" s="11"/>
      <c r="E259" s="11"/>
      <c r="F259" s="11"/>
      <c r="G259" s="11"/>
    </row>
    <row r="260">
      <c r="A260" s="11"/>
      <c r="B260" s="11"/>
      <c r="C260" s="11"/>
      <c r="D260" s="11"/>
      <c r="E260" s="11"/>
      <c r="F260" s="11"/>
      <c r="G260" s="11"/>
    </row>
    <row r="261">
      <c r="A261" s="11"/>
      <c r="B261" s="11"/>
      <c r="C261" s="11"/>
      <c r="D261" s="11"/>
      <c r="E261" s="11"/>
      <c r="F261" s="11"/>
      <c r="G261" s="11"/>
    </row>
    <row r="262">
      <c r="A262" s="11"/>
      <c r="B262" s="11"/>
      <c r="C262" s="11"/>
      <c r="D262" s="11"/>
      <c r="E262" s="11"/>
      <c r="F262" s="11"/>
      <c r="G262" s="11"/>
    </row>
    <row r="263">
      <c r="A263" s="11"/>
      <c r="B263" s="11"/>
      <c r="C263" s="11"/>
      <c r="D263" s="11"/>
      <c r="E263" s="11"/>
      <c r="F263" s="11"/>
      <c r="G263" s="11"/>
    </row>
    <row r="264">
      <c r="A264" s="11"/>
      <c r="B264" s="11"/>
      <c r="C264" s="11"/>
      <c r="D264" s="11"/>
      <c r="E264" s="11"/>
      <c r="F264" s="11"/>
      <c r="G264" s="11"/>
    </row>
    <row r="265">
      <c r="A265" s="11"/>
      <c r="B265" s="11"/>
      <c r="C265" s="11"/>
      <c r="D265" s="11"/>
      <c r="E265" s="11"/>
      <c r="F265" s="11"/>
      <c r="G265" s="11"/>
    </row>
    <row r="266">
      <c r="A266" s="11"/>
      <c r="B266" s="11"/>
      <c r="C266" s="11"/>
      <c r="D266" s="11"/>
      <c r="E266" s="11"/>
      <c r="F266" s="11"/>
      <c r="G266" s="11"/>
    </row>
    <row r="267">
      <c r="A267" s="11"/>
      <c r="B267" s="11"/>
      <c r="C267" s="11"/>
      <c r="D267" s="11"/>
      <c r="E267" s="11"/>
      <c r="F267" s="11"/>
      <c r="G267" s="11"/>
    </row>
    <row r="268">
      <c r="A268" s="11"/>
      <c r="B268" s="11"/>
      <c r="C268" s="11"/>
      <c r="D268" s="11"/>
      <c r="E268" s="11"/>
      <c r="F268" s="11"/>
      <c r="G268" s="11"/>
    </row>
    <row r="269">
      <c r="A269" s="11"/>
      <c r="B269" s="11"/>
      <c r="C269" s="11"/>
      <c r="D269" s="11"/>
      <c r="E269" s="11"/>
      <c r="F269" s="11"/>
      <c r="G269" s="11"/>
    </row>
    <row r="270">
      <c r="A270" s="11"/>
      <c r="B270" s="11"/>
      <c r="C270" s="11"/>
      <c r="D270" s="11"/>
      <c r="E270" s="11"/>
      <c r="F270" s="11"/>
      <c r="G270" s="11"/>
    </row>
    <row r="271">
      <c r="A271" s="11"/>
      <c r="B271" s="11"/>
      <c r="C271" s="11"/>
      <c r="D271" s="11"/>
      <c r="E271" s="11"/>
      <c r="F271" s="11"/>
      <c r="G271" s="11"/>
    </row>
    <row r="272">
      <c r="A272" s="11"/>
      <c r="B272" s="11"/>
      <c r="C272" s="11"/>
      <c r="D272" s="11"/>
      <c r="E272" s="11"/>
      <c r="F272" s="11"/>
      <c r="G272" s="11"/>
    </row>
    <row r="273">
      <c r="A273" s="11"/>
      <c r="B273" s="11"/>
      <c r="C273" s="11"/>
      <c r="D273" s="11"/>
      <c r="E273" s="11"/>
      <c r="F273" s="11"/>
      <c r="G273" s="11"/>
    </row>
    <row r="274">
      <c r="A274" s="11"/>
      <c r="B274" s="11"/>
      <c r="C274" s="11"/>
      <c r="D274" s="11"/>
      <c r="E274" s="11"/>
      <c r="F274" s="11"/>
      <c r="G274" s="11"/>
    </row>
    <row r="275">
      <c r="A275" s="11"/>
      <c r="B275" s="11"/>
      <c r="C275" s="11"/>
      <c r="D275" s="11"/>
      <c r="E275" s="11"/>
      <c r="F275" s="11"/>
      <c r="G275" s="11"/>
    </row>
    <row r="276">
      <c r="A276" s="11"/>
      <c r="B276" s="11"/>
      <c r="C276" s="11"/>
      <c r="D276" s="11"/>
      <c r="E276" s="11"/>
      <c r="F276" s="11"/>
      <c r="G276" s="11"/>
    </row>
    <row r="277">
      <c r="A277" s="11"/>
      <c r="B277" s="11"/>
      <c r="C277" s="11"/>
      <c r="D277" s="11"/>
      <c r="E277" s="11"/>
      <c r="F277" s="11"/>
      <c r="G277" s="11"/>
    </row>
    <row r="278">
      <c r="A278" s="11"/>
      <c r="B278" s="11"/>
      <c r="C278" s="11"/>
      <c r="D278" s="11"/>
      <c r="E278" s="11"/>
      <c r="F278" s="11"/>
      <c r="G278" s="11"/>
    </row>
    <row r="279">
      <c r="A279" s="11"/>
      <c r="B279" s="11"/>
      <c r="C279" s="11"/>
      <c r="D279" s="11"/>
      <c r="E279" s="11"/>
      <c r="F279" s="11"/>
      <c r="G279" s="11"/>
    </row>
    <row r="280">
      <c r="A280" s="11"/>
      <c r="B280" s="11"/>
      <c r="C280" s="11"/>
      <c r="D280" s="11"/>
      <c r="E280" s="11"/>
      <c r="F280" s="11"/>
      <c r="G280" s="11"/>
    </row>
    <row r="281">
      <c r="A281" s="11"/>
      <c r="B281" s="11"/>
      <c r="C281" s="11"/>
      <c r="D281" s="11"/>
      <c r="E281" s="11"/>
      <c r="F281" s="11"/>
      <c r="G281" s="11"/>
    </row>
    <row r="282">
      <c r="A282" s="11"/>
      <c r="B282" s="11"/>
      <c r="C282" s="11"/>
      <c r="D282" s="11"/>
      <c r="E282" s="11"/>
      <c r="F282" s="11"/>
      <c r="G282" s="11"/>
    </row>
    <row r="283">
      <c r="A283" s="11"/>
      <c r="B283" s="11"/>
      <c r="C283" s="11"/>
      <c r="D283" s="11"/>
      <c r="E283" s="11"/>
      <c r="F283" s="11"/>
      <c r="G283" s="11"/>
    </row>
    <row r="284">
      <c r="A284" s="11"/>
      <c r="B284" s="11"/>
      <c r="C284" s="11"/>
      <c r="D284" s="11"/>
      <c r="E284" s="11"/>
      <c r="F284" s="11"/>
      <c r="G284" s="11"/>
    </row>
    <row r="285">
      <c r="A285" s="11"/>
      <c r="B285" s="11"/>
      <c r="C285" s="11"/>
      <c r="D285" s="11"/>
      <c r="E285" s="11"/>
      <c r="F285" s="11"/>
      <c r="G285" s="11"/>
    </row>
    <row r="286">
      <c r="A286" s="11"/>
      <c r="B286" s="11"/>
      <c r="C286" s="11"/>
      <c r="D286" s="11"/>
      <c r="E286" s="11"/>
      <c r="F286" s="11"/>
      <c r="G286" s="11"/>
    </row>
    <row r="287">
      <c r="A287" s="11"/>
      <c r="B287" s="11"/>
      <c r="C287" s="11"/>
      <c r="D287" s="11"/>
      <c r="E287" s="11"/>
      <c r="F287" s="11"/>
      <c r="G287" s="11"/>
    </row>
    <row r="288">
      <c r="A288" s="11"/>
      <c r="B288" s="11"/>
      <c r="C288" s="11"/>
      <c r="D288" s="11"/>
      <c r="E288" s="11"/>
      <c r="F288" s="11"/>
      <c r="G288" s="11"/>
    </row>
    <row r="289">
      <c r="A289" s="11"/>
      <c r="B289" s="11"/>
      <c r="C289" s="11"/>
      <c r="D289" s="11"/>
      <c r="E289" s="11"/>
      <c r="F289" s="11"/>
      <c r="G289" s="11"/>
    </row>
    <row r="290">
      <c r="A290" s="11"/>
      <c r="B290" s="11"/>
      <c r="C290" s="11"/>
      <c r="D290" s="11"/>
      <c r="E290" s="11"/>
      <c r="F290" s="11"/>
      <c r="G290" s="11"/>
    </row>
    <row r="291">
      <c r="A291" s="11"/>
      <c r="B291" s="11"/>
      <c r="C291" s="11"/>
      <c r="D291" s="11"/>
      <c r="E291" s="11"/>
      <c r="F291" s="11"/>
      <c r="G291" s="11"/>
    </row>
    <row r="292">
      <c r="A292" s="11"/>
      <c r="B292" s="11"/>
      <c r="C292" s="11"/>
      <c r="D292" s="11"/>
      <c r="E292" s="11"/>
      <c r="F292" s="11"/>
      <c r="G292" s="11"/>
    </row>
    <row r="293">
      <c r="A293" s="11"/>
      <c r="B293" s="11"/>
      <c r="C293" s="11"/>
      <c r="D293" s="11"/>
      <c r="E293" s="11"/>
      <c r="F293" s="11"/>
      <c r="G293" s="11"/>
    </row>
    <row r="294">
      <c r="A294" s="11"/>
      <c r="B294" s="11"/>
      <c r="C294" s="11"/>
      <c r="D294" s="11"/>
      <c r="E294" s="11"/>
      <c r="F294" s="11"/>
      <c r="G294" s="11"/>
    </row>
    <row r="295">
      <c r="A295" s="11"/>
      <c r="B295" s="11"/>
      <c r="C295" s="11"/>
      <c r="D295" s="11"/>
      <c r="E295" s="11"/>
      <c r="F295" s="11"/>
      <c r="G295" s="11"/>
    </row>
    <row r="296">
      <c r="A296" s="11"/>
      <c r="B296" s="11"/>
      <c r="C296" s="11"/>
      <c r="D296" s="11"/>
      <c r="E296" s="11"/>
      <c r="F296" s="11"/>
      <c r="G296" s="11"/>
    </row>
    <row r="297">
      <c r="A297" s="11"/>
      <c r="B297" s="11"/>
      <c r="C297" s="11"/>
      <c r="D297" s="11"/>
      <c r="E297" s="11"/>
      <c r="F297" s="11"/>
      <c r="G297" s="11"/>
    </row>
    <row r="298">
      <c r="A298" s="11"/>
      <c r="B298" s="11"/>
      <c r="C298" s="11"/>
      <c r="D298" s="11"/>
      <c r="E298" s="11"/>
      <c r="F298" s="11"/>
      <c r="G298" s="11"/>
    </row>
    <row r="299">
      <c r="A299" s="11"/>
      <c r="B299" s="11"/>
      <c r="C299" s="11"/>
      <c r="D299" s="11"/>
      <c r="E299" s="11"/>
      <c r="F299" s="11"/>
      <c r="G299" s="11"/>
    </row>
    <row r="300">
      <c r="A300" s="11"/>
      <c r="B300" s="11"/>
      <c r="C300" s="11"/>
      <c r="D300" s="11"/>
      <c r="E300" s="11"/>
      <c r="F300" s="11"/>
      <c r="G300" s="11"/>
    </row>
    <row r="301">
      <c r="A301" s="11"/>
      <c r="B301" s="11"/>
      <c r="C301" s="11"/>
      <c r="D301" s="11"/>
      <c r="E301" s="11"/>
      <c r="F301" s="11"/>
      <c r="G301" s="11"/>
    </row>
    <row r="302">
      <c r="A302" s="11"/>
      <c r="B302" s="11"/>
      <c r="C302" s="11"/>
      <c r="D302" s="11"/>
      <c r="E302" s="11"/>
      <c r="F302" s="11"/>
      <c r="G302" s="11"/>
    </row>
    <row r="303">
      <c r="A303" s="11"/>
      <c r="B303" s="11"/>
      <c r="C303" s="11"/>
      <c r="D303" s="11"/>
      <c r="E303" s="11"/>
      <c r="F303" s="11"/>
      <c r="G303" s="11"/>
    </row>
    <row r="304">
      <c r="A304" s="11"/>
      <c r="B304" s="11"/>
      <c r="C304" s="11"/>
      <c r="D304" s="11"/>
      <c r="E304" s="11"/>
      <c r="F304" s="11"/>
      <c r="G304" s="11"/>
    </row>
    <row r="305">
      <c r="A305" s="11"/>
      <c r="B305" s="11"/>
      <c r="C305" s="11"/>
      <c r="D305" s="11"/>
      <c r="E305" s="11"/>
      <c r="F305" s="11"/>
      <c r="G305" s="11"/>
    </row>
    <row r="306">
      <c r="A306" s="11"/>
      <c r="B306" s="11"/>
      <c r="C306" s="11"/>
      <c r="D306" s="11"/>
      <c r="E306" s="11"/>
      <c r="F306" s="11"/>
      <c r="G306" s="11"/>
    </row>
    <row r="307">
      <c r="A307" s="11"/>
      <c r="B307" s="11"/>
      <c r="C307" s="11"/>
      <c r="D307" s="11"/>
      <c r="E307" s="11"/>
      <c r="F307" s="11"/>
      <c r="G307" s="11"/>
    </row>
    <row r="308">
      <c r="A308" s="11"/>
      <c r="B308" s="11"/>
      <c r="C308" s="11"/>
      <c r="D308" s="11"/>
      <c r="E308" s="11"/>
      <c r="F308" s="11"/>
      <c r="G308" s="11"/>
    </row>
    <row r="309">
      <c r="A309" s="11"/>
      <c r="B309" s="11"/>
      <c r="C309" s="11"/>
      <c r="D309" s="11"/>
      <c r="E309" s="11"/>
      <c r="F309" s="11"/>
      <c r="G309" s="11"/>
    </row>
    <row r="310">
      <c r="A310" s="11"/>
      <c r="B310" s="11"/>
      <c r="C310" s="11"/>
      <c r="D310" s="11"/>
      <c r="E310" s="11"/>
      <c r="F310" s="11"/>
      <c r="G310" s="11"/>
    </row>
    <row r="311">
      <c r="A311" s="11"/>
      <c r="B311" s="11"/>
      <c r="C311" s="11"/>
      <c r="D311" s="11"/>
      <c r="E311" s="11"/>
      <c r="F311" s="11"/>
      <c r="G311" s="11"/>
    </row>
    <row r="312">
      <c r="A312" s="11"/>
      <c r="B312" s="11"/>
      <c r="C312" s="11"/>
      <c r="D312" s="11"/>
      <c r="E312" s="11"/>
      <c r="F312" s="11"/>
      <c r="G312" s="11"/>
    </row>
    <row r="313">
      <c r="A313" s="11"/>
      <c r="B313" s="11"/>
      <c r="C313" s="11"/>
      <c r="D313" s="11"/>
      <c r="E313" s="11"/>
      <c r="F313" s="11"/>
      <c r="G313" s="11"/>
    </row>
    <row r="314">
      <c r="A314" s="11"/>
      <c r="B314" s="11"/>
      <c r="C314" s="11"/>
      <c r="D314" s="11"/>
      <c r="E314" s="11"/>
      <c r="F314" s="11"/>
      <c r="G314" s="11"/>
    </row>
    <row r="315">
      <c r="A315" s="11"/>
      <c r="B315" s="11"/>
      <c r="C315" s="11"/>
      <c r="D315" s="11"/>
      <c r="E315" s="11"/>
      <c r="F315" s="11"/>
      <c r="G315" s="11"/>
    </row>
    <row r="316">
      <c r="A316" s="11"/>
      <c r="B316" s="11"/>
      <c r="C316" s="11"/>
      <c r="D316" s="11"/>
      <c r="E316" s="11"/>
      <c r="F316" s="11"/>
      <c r="G316" s="11"/>
    </row>
    <row r="317">
      <c r="A317" s="11"/>
      <c r="B317" s="11"/>
      <c r="C317" s="11"/>
      <c r="D317" s="11"/>
      <c r="E317" s="11"/>
      <c r="F317" s="11"/>
      <c r="G317" s="11"/>
    </row>
    <row r="318">
      <c r="A318" s="11"/>
      <c r="B318" s="11"/>
      <c r="C318" s="11"/>
      <c r="D318" s="11"/>
      <c r="E318" s="11"/>
      <c r="F318" s="11"/>
      <c r="G318" s="11"/>
    </row>
    <row r="319">
      <c r="A319" s="11"/>
      <c r="B319" s="11"/>
      <c r="C319" s="11"/>
      <c r="D319" s="11"/>
      <c r="E319" s="11"/>
      <c r="F319" s="11"/>
      <c r="G319" s="11"/>
    </row>
    <row r="320">
      <c r="A320" s="11"/>
      <c r="B320" s="11"/>
      <c r="C320" s="11"/>
      <c r="D320" s="11"/>
      <c r="E320" s="11"/>
      <c r="F320" s="11"/>
      <c r="G320" s="11"/>
    </row>
    <row r="321">
      <c r="A321" s="11"/>
      <c r="B321" s="11"/>
      <c r="C321" s="11"/>
      <c r="D321" s="11"/>
      <c r="E321" s="11"/>
      <c r="F321" s="11"/>
      <c r="G321" s="11"/>
    </row>
    <row r="322">
      <c r="A322" s="11"/>
      <c r="B322" s="11"/>
      <c r="C322" s="11"/>
      <c r="D322" s="11"/>
      <c r="E322" s="11"/>
      <c r="F322" s="11"/>
      <c r="G322" s="11"/>
    </row>
    <row r="323">
      <c r="A323" s="11"/>
      <c r="B323" s="11"/>
      <c r="C323" s="11"/>
      <c r="D323" s="11"/>
      <c r="E323" s="11"/>
      <c r="F323" s="11"/>
      <c r="G323" s="11"/>
    </row>
    <row r="324">
      <c r="A324" s="11"/>
      <c r="B324" s="11"/>
      <c r="C324" s="11"/>
      <c r="D324" s="11"/>
      <c r="E324" s="11"/>
      <c r="F324" s="11"/>
      <c r="G324" s="11"/>
    </row>
    <row r="325">
      <c r="A325" s="11"/>
      <c r="B325" s="11"/>
      <c r="C325" s="11"/>
      <c r="D325" s="11"/>
      <c r="E325" s="11"/>
      <c r="F325" s="11"/>
      <c r="G325" s="11"/>
    </row>
    <row r="326">
      <c r="A326" s="11"/>
      <c r="B326" s="11"/>
      <c r="C326" s="11"/>
      <c r="D326" s="11"/>
      <c r="E326" s="11"/>
      <c r="F326" s="11"/>
      <c r="G326" s="11"/>
    </row>
    <row r="327">
      <c r="A327" s="11"/>
      <c r="B327" s="11"/>
      <c r="C327" s="11"/>
      <c r="D327" s="11"/>
      <c r="E327" s="11"/>
      <c r="F327" s="11"/>
      <c r="G327" s="11"/>
    </row>
    <row r="328">
      <c r="A328" s="11"/>
      <c r="B328" s="11"/>
      <c r="C328" s="11"/>
      <c r="D328" s="11"/>
      <c r="E328" s="11"/>
      <c r="F328" s="11"/>
      <c r="G328" s="11"/>
    </row>
    <row r="329">
      <c r="A329" s="11"/>
      <c r="B329" s="11"/>
      <c r="C329" s="11"/>
      <c r="D329" s="11"/>
      <c r="E329" s="11"/>
      <c r="F329" s="11"/>
      <c r="G329" s="11"/>
    </row>
    <row r="330">
      <c r="A330" s="11"/>
      <c r="B330" s="11"/>
      <c r="C330" s="11"/>
      <c r="D330" s="11"/>
      <c r="E330" s="11"/>
      <c r="F330" s="11"/>
      <c r="G330" s="11"/>
    </row>
    <row r="331">
      <c r="A331" s="11"/>
      <c r="B331" s="11"/>
      <c r="C331" s="11"/>
      <c r="D331" s="11"/>
      <c r="E331" s="11"/>
      <c r="F331" s="11"/>
      <c r="G331" s="11"/>
    </row>
    <row r="332">
      <c r="A332" s="11"/>
      <c r="B332" s="11"/>
      <c r="C332" s="11"/>
      <c r="D332" s="11"/>
      <c r="E332" s="11"/>
      <c r="F332" s="11"/>
      <c r="G332" s="11"/>
    </row>
    <row r="333">
      <c r="A333" s="11"/>
      <c r="B333" s="11"/>
      <c r="C333" s="11"/>
      <c r="D333" s="11"/>
      <c r="E333" s="11"/>
      <c r="F333" s="11"/>
      <c r="G333" s="11"/>
    </row>
    <row r="334">
      <c r="A334" s="11"/>
      <c r="B334" s="11"/>
      <c r="C334" s="11"/>
      <c r="D334" s="11"/>
      <c r="E334" s="11"/>
      <c r="F334" s="11"/>
      <c r="G334" s="11"/>
    </row>
    <row r="335">
      <c r="A335" s="11"/>
      <c r="B335" s="11"/>
      <c r="C335" s="11"/>
      <c r="D335" s="11"/>
      <c r="E335" s="11"/>
      <c r="F335" s="11"/>
      <c r="G335" s="11"/>
    </row>
    <row r="336">
      <c r="A336" s="11"/>
      <c r="B336" s="11"/>
      <c r="C336" s="11"/>
      <c r="D336" s="11"/>
      <c r="E336" s="11"/>
      <c r="F336" s="11"/>
      <c r="G336" s="11"/>
    </row>
    <row r="337">
      <c r="A337" s="11"/>
      <c r="B337" s="11"/>
      <c r="C337" s="11"/>
      <c r="D337" s="11"/>
      <c r="E337" s="11"/>
      <c r="F337" s="11"/>
      <c r="G337" s="11"/>
    </row>
    <row r="338">
      <c r="A338" s="11"/>
      <c r="B338" s="11"/>
      <c r="C338" s="11"/>
      <c r="D338" s="11"/>
      <c r="E338" s="11"/>
      <c r="F338" s="11"/>
      <c r="G338" s="11"/>
    </row>
    <row r="339">
      <c r="A339" s="11"/>
      <c r="B339" s="11"/>
      <c r="C339" s="11"/>
      <c r="D339" s="11"/>
      <c r="E339" s="11"/>
      <c r="F339" s="11"/>
      <c r="G339" s="11"/>
    </row>
    <row r="340">
      <c r="A340" s="11"/>
      <c r="B340" s="11"/>
      <c r="C340" s="11"/>
      <c r="D340" s="11"/>
      <c r="E340" s="11"/>
      <c r="F340" s="11"/>
      <c r="G340" s="11"/>
    </row>
    <row r="341">
      <c r="A341" s="11"/>
      <c r="B341" s="11"/>
      <c r="C341" s="11"/>
      <c r="D341" s="11"/>
      <c r="E341" s="11"/>
      <c r="F341" s="11"/>
      <c r="G341" s="11"/>
    </row>
    <row r="342">
      <c r="A342" s="11"/>
      <c r="B342" s="11"/>
      <c r="C342" s="11"/>
      <c r="D342" s="11"/>
      <c r="E342" s="11"/>
      <c r="F342" s="11"/>
      <c r="G342" s="11"/>
    </row>
    <row r="343">
      <c r="A343" s="11"/>
      <c r="B343" s="11"/>
      <c r="C343" s="11"/>
      <c r="D343" s="11"/>
      <c r="E343" s="11"/>
      <c r="F343" s="11"/>
      <c r="G343" s="11"/>
    </row>
    <row r="344">
      <c r="A344" s="11"/>
      <c r="B344" s="11"/>
      <c r="C344" s="11"/>
      <c r="D344" s="11"/>
      <c r="E344" s="11"/>
      <c r="F344" s="11"/>
      <c r="G344" s="11"/>
    </row>
    <row r="345">
      <c r="A345" s="11"/>
      <c r="B345" s="11"/>
      <c r="C345" s="11"/>
      <c r="D345" s="11"/>
      <c r="E345" s="11"/>
      <c r="F345" s="11"/>
      <c r="G345" s="11"/>
    </row>
    <row r="346">
      <c r="A346" s="11"/>
      <c r="B346" s="11"/>
      <c r="C346" s="11"/>
      <c r="D346" s="11"/>
      <c r="E346" s="11"/>
      <c r="F346" s="11"/>
      <c r="G346" s="11"/>
    </row>
    <row r="347">
      <c r="A347" s="11"/>
      <c r="B347" s="11"/>
      <c r="C347" s="11"/>
      <c r="D347" s="11"/>
      <c r="E347" s="11"/>
      <c r="F347" s="11"/>
      <c r="G347" s="11"/>
    </row>
    <row r="348">
      <c r="A348" s="11"/>
      <c r="B348" s="11"/>
      <c r="C348" s="11"/>
      <c r="D348" s="11"/>
      <c r="E348" s="11"/>
      <c r="F348" s="11"/>
      <c r="G348" s="11"/>
    </row>
    <row r="349">
      <c r="A349" s="11"/>
      <c r="B349" s="11"/>
      <c r="C349" s="11"/>
      <c r="D349" s="11"/>
      <c r="E349" s="11"/>
      <c r="F349" s="11"/>
      <c r="G349" s="11"/>
    </row>
    <row r="350">
      <c r="A350" s="11"/>
      <c r="B350" s="11"/>
      <c r="C350" s="11"/>
      <c r="D350" s="11"/>
      <c r="E350" s="11"/>
      <c r="F350" s="11"/>
      <c r="G350" s="11"/>
    </row>
    <row r="351">
      <c r="A351" s="11"/>
      <c r="B351" s="11"/>
      <c r="C351" s="11"/>
      <c r="D351" s="11"/>
      <c r="E351" s="11"/>
      <c r="F351" s="11"/>
      <c r="G351" s="11"/>
    </row>
    <row r="352">
      <c r="A352" s="11"/>
      <c r="B352" s="11"/>
      <c r="C352" s="11"/>
      <c r="D352" s="11"/>
      <c r="E352" s="11"/>
      <c r="F352" s="11"/>
      <c r="G352" s="11"/>
    </row>
    <row r="353">
      <c r="A353" s="11"/>
      <c r="B353" s="11"/>
      <c r="C353" s="11"/>
      <c r="D353" s="11"/>
      <c r="E353" s="11"/>
      <c r="F353" s="11"/>
      <c r="G353" s="11"/>
    </row>
    <row r="354">
      <c r="A354" s="11"/>
      <c r="B354" s="11"/>
      <c r="C354" s="11"/>
      <c r="D354" s="11"/>
      <c r="E354" s="11"/>
      <c r="F354" s="11"/>
      <c r="G354" s="11"/>
    </row>
    <row r="355">
      <c r="A355" s="11"/>
      <c r="B355" s="11"/>
      <c r="C355" s="11"/>
      <c r="D355" s="11"/>
      <c r="E355" s="11"/>
      <c r="F355" s="11"/>
      <c r="G355" s="11"/>
    </row>
    <row r="356">
      <c r="A356" s="11"/>
      <c r="B356" s="11"/>
      <c r="C356" s="11"/>
      <c r="D356" s="11"/>
      <c r="E356" s="11"/>
      <c r="F356" s="11"/>
      <c r="G356" s="11"/>
    </row>
    <row r="357">
      <c r="A357" s="11"/>
      <c r="B357" s="11"/>
      <c r="C357" s="11"/>
      <c r="D357" s="11"/>
      <c r="E357" s="11"/>
      <c r="F357" s="11"/>
      <c r="G357" s="11"/>
    </row>
    <row r="358">
      <c r="A358" s="11"/>
      <c r="B358" s="11"/>
      <c r="C358" s="11"/>
      <c r="D358" s="11"/>
      <c r="E358" s="11"/>
      <c r="F358" s="11"/>
      <c r="G358" s="11"/>
    </row>
    <row r="359">
      <c r="A359" s="11"/>
      <c r="B359" s="11"/>
      <c r="C359" s="11"/>
      <c r="D359" s="11"/>
      <c r="E359" s="11"/>
      <c r="F359" s="11"/>
      <c r="G359" s="11"/>
    </row>
    <row r="360">
      <c r="A360" s="11"/>
      <c r="B360" s="11"/>
      <c r="C360" s="11"/>
      <c r="D360" s="11"/>
      <c r="E360" s="11"/>
      <c r="F360" s="11"/>
      <c r="G360" s="11"/>
    </row>
    <row r="361">
      <c r="A361" s="11"/>
      <c r="B361" s="11"/>
      <c r="C361" s="11"/>
      <c r="D361" s="11"/>
      <c r="E361" s="11"/>
      <c r="F361" s="11"/>
      <c r="G361" s="11"/>
    </row>
    <row r="362">
      <c r="A362" s="11"/>
      <c r="B362" s="11"/>
      <c r="C362" s="11"/>
      <c r="D362" s="11"/>
      <c r="E362" s="11"/>
      <c r="F362" s="11"/>
      <c r="G362" s="11"/>
    </row>
    <row r="363">
      <c r="A363" s="11"/>
      <c r="B363" s="11"/>
      <c r="C363" s="11"/>
      <c r="D363" s="11"/>
      <c r="E363" s="11"/>
      <c r="F363" s="11"/>
      <c r="G363" s="11"/>
    </row>
    <row r="364">
      <c r="A364" s="11"/>
      <c r="B364" s="11"/>
      <c r="C364" s="11"/>
      <c r="D364" s="11"/>
      <c r="E364" s="11"/>
      <c r="F364" s="11"/>
      <c r="G364" s="11"/>
    </row>
    <row r="365">
      <c r="A365" s="11"/>
      <c r="B365" s="11"/>
      <c r="C365" s="11"/>
      <c r="D365" s="11"/>
      <c r="E365" s="11"/>
      <c r="F365" s="11"/>
      <c r="G365" s="11"/>
    </row>
    <row r="366">
      <c r="A366" s="11"/>
      <c r="B366" s="11"/>
      <c r="C366" s="11"/>
      <c r="D366" s="11"/>
      <c r="E366" s="11"/>
      <c r="F366" s="11"/>
      <c r="G366" s="11"/>
    </row>
    <row r="367">
      <c r="A367" s="11"/>
      <c r="B367" s="11"/>
      <c r="C367" s="11"/>
      <c r="D367" s="11"/>
      <c r="E367" s="11"/>
      <c r="F367" s="11"/>
      <c r="G367" s="11"/>
    </row>
    <row r="368">
      <c r="A368" s="11"/>
      <c r="B368" s="11"/>
      <c r="C368" s="11"/>
      <c r="D368" s="11"/>
      <c r="E368" s="11"/>
      <c r="F368" s="11"/>
      <c r="G368" s="11"/>
    </row>
    <row r="369">
      <c r="A369" s="11"/>
      <c r="B369" s="11"/>
      <c r="C369" s="11"/>
      <c r="D369" s="11"/>
      <c r="E369" s="11"/>
      <c r="F369" s="11"/>
      <c r="G369" s="11"/>
    </row>
    <row r="370">
      <c r="A370" s="11"/>
      <c r="B370" s="11"/>
      <c r="C370" s="11"/>
      <c r="D370" s="11"/>
      <c r="E370" s="11"/>
      <c r="F370" s="11"/>
      <c r="G370" s="11"/>
    </row>
    <row r="371">
      <c r="A371" s="11"/>
      <c r="B371" s="11"/>
      <c r="C371" s="11"/>
      <c r="D371" s="11"/>
      <c r="E371" s="11"/>
      <c r="F371" s="11"/>
      <c r="G371" s="11"/>
    </row>
    <row r="372">
      <c r="A372" s="11"/>
      <c r="B372" s="11"/>
      <c r="C372" s="11"/>
      <c r="D372" s="11"/>
      <c r="E372" s="11"/>
      <c r="F372" s="11"/>
      <c r="G372" s="11"/>
    </row>
    <row r="373">
      <c r="A373" s="11"/>
      <c r="B373" s="11"/>
      <c r="C373" s="11"/>
      <c r="D373" s="11"/>
      <c r="E373" s="11"/>
      <c r="F373" s="11"/>
      <c r="G373" s="11"/>
    </row>
    <row r="374">
      <c r="A374" s="11"/>
      <c r="B374" s="11"/>
      <c r="C374" s="11"/>
      <c r="D374" s="11"/>
      <c r="E374" s="11"/>
      <c r="F374" s="11"/>
      <c r="G374" s="11"/>
    </row>
    <row r="375">
      <c r="A375" s="11"/>
      <c r="B375" s="11"/>
      <c r="C375" s="11"/>
      <c r="D375" s="11"/>
      <c r="E375" s="11"/>
      <c r="F375" s="11"/>
      <c r="G375" s="11"/>
    </row>
    <row r="376">
      <c r="A376" s="11"/>
      <c r="B376" s="11"/>
      <c r="C376" s="11"/>
      <c r="D376" s="11"/>
      <c r="E376" s="11"/>
      <c r="F376" s="11"/>
      <c r="G376" s="11"/>
    </row>
    <row r="377">
      <c r="A377" s="11"/>
      <c r="B377" s="11"/>
      <c r="C377" s="11"/>
      <c r="D377" s="11"/>
      <c r="E377" s="11"/>
      <c r="F377" s="11"/>
      <c r="G377" s="11"/>
    </row>
    <row r="378">
      <c r="A378" s="11"/>
      <c r="B378" s="11"/>
      <c r="C378" s="11"/>
      <c r="D378" s="11"/>
      <c r="E378" s="11"/>
      <c r="F378" s="11"/>
      <c r="G378" s="11"/>
    </row>
    <row r="379">
      <c r="A379" s="11"/>
      <c r="B379" s="11"/>
      <c r="C379" s="11"/>
      <c r="D379" s="11"/>
      <c r="E379" s="11"/>
      <c r="F379" s="11"/>
      <c r="G379" s="11"/>
    </row>
    <row r="380">
      <c r="A380" s="11"/>
      <c r="B380" s="11"/>
      <c r="C380" s="11"/>
      <c r="D380" s="11"/>
      <c r="E380" s="11"/>
      <c r="F380" s="11"/>
      <c r="G380" s="11"/>
    </row>
    <row r="381">
      <c r="A381" s="11"/>
      <c r="B381" s="11"/>
      <c r="C381" s="11"/>
      <c r="D381" s="11"/>
      <c r="E381" s="11"/>
      <c r="F381" s="11"/>
      <c r="G381" s="11"/>
    </row>
    <row r="382">
      <c r="A382" s="11"/>
      <c r="B382" s="11"/>
      <c r="C382" s="11"/>
      <c r="D382" s="11"/>
      <c r="E382" s="11"/>
      <c r="F382" s="11"/>
      <c r="G382" s="11"/>
    </row>
    <row r="383">
      <c r="A383" s="11"/>
      <c r="B383" s="11"/>
      <c r="C383" s="11"/>
      <c r="D383" s="11"/>
      <c r="E383" s="11"/>
      <c r="F383" s="11"/>
      <c r="G383" s="11"/>
    </row>
    <row r="384">
      <c r="A384" s="11"/>
      <c r="B384" s="11"/>
      <c r="C384" s="11"/>
      <c r="D384" s="11"/>
      <c r="E384" s="11"/>
      <c r="F384" s="11"/>
      <c r="G384" s="11"/>
    </row>
    <row r="385">
      <c r="A385" s="11"/>
      <c r="B385" s="11"/>
      <c r="C385" s="11"/>
      <c r="D385" s="11"/>
      <c r="E385" s="11"/>
      <c r="F385" s="11"/>
      <c r="G385" s="11"/>
    </row>
    <row r="386">
      <c r="A386" s="11"/>
      <c r="B386" s="11"/>
      <c r="C386" s="11"/>
      <c r="D386" s="11"/>
      <c r="E386" s="11"/>
      <c r="F386" s="11"/>
      <c r="G386" s="11"/>
    </row>
    <row r="387">
      <c r="A387" s="11"/>
      <c r="B387" s="11"/>
      <c r="C387" s="11"/>
      <c r="D387" s="11"/>
      <c r="E387" s="11"/>
      <c r="F387" s="11"/>
      <c r="G387" s="11"/>
    </row>
    <row r="388">
      <c r="A388" s="11"/>
      <c r="B388" s="11"/>
      <c r="C388" s="11"/>
      <c r="D388" s="11"/>
      <c r="E388" s="11"/>
      <c r="F388" s="11"/>
      <c r="G388" s="11"/>
    </row>
    <row r="389">
      <c r="A389" s="11"/>
      <c r="B389" s="11"/>
      <c r="C389" s="11"/>
      <c r="D389" s="11"/>
      <c r="E389" s="11"/>
      <c r="F389" s="11"/>
      <c r="G389" s="11"/>
    </row>
    <row r="390">
      <c r="A390" s="11"/>
      <c r="B390" s="11"/>
      <c r="C390" s="11"/>
      <c r="D390" s="11"/>
      <c r="E390" s="11"/>
      <c r="F390" s="11"/>
      <c r="G390" s="11"/>
    </row>
    <row r="391">
      <c r="A391" s="11"/>
      <c r="B391" s="11"/>
      <c r="C391" s="11"/>
      <c r="D391" s="11"/>
      <c r="E391" s="11"/>
      <c r="F391" s="11"/>
      <c r="G391" s="11"/>
    </row>
    <row r="392">
      <c r="A392" s="11"/>
      <c r="B392" s="11"/>
      <c r="C392" s="11"/>
      <c r="D392" s="11"/>
      <c r="E392" s="11"/>
      <c r="F392" s="11"/>
      <c r="G392" s="11"/>
    </row>
    <row r="393">
      <c r="A393" s="11"/>
      <c r="B393" s="11"/>
      <c r="C393" s="11"/>
      <c r="D393" s="11"/>
      <c r="E393" s="11"/>
      <c r="F393" s="11"/>
      <c r="G393" s="11"/>
    </row>
    <row r="394">
      <c r="A394" s="11"/>
      <c r="B394" s="11"/>
      <c r="C394" s="11"/>
      <c r="D394" s="11"/>
      <c r="E394" s="11"/>
      <c r="F394" s="11"/>
      <c r="G394" s="11"/>
    </row>
    <row r="395">
      <c r="A395" s="11"/>
      <c r="B395" s="11"/>
      <c r="C395" s="11"/>
      <c r="D395" s="11"/>
      <c r="E395" s="11"/>
      <c r="F395" s="11"/>
      <c r="G395" s="11"/>
    </row>
    <row r="396">
      <c r="A396" s="11"/>
      <c r="B396" s="11"/>
      <c r="C396" s="11"/>
      <c r="D396" s="11"/>
      <c r="E396" s="11"/>
      <c r="F396" s="11"/>
      <c r="G396" s="11"/>
    </row>
    <row r="397">
      <c r="A397" s="11"/>
      <c r="B397" s="11"/>
      <c r="C397" s="11"/>
      <c r="D397" s="11"/>
      <c r="E397" s="11"/>
      <c r="F397" s="11"/>
      <c r="G397" s="11"/>
    </row>
    <row r="398">
      <c r="A398" s="11"/>
      <c r="B398" s="11"/>
      <c r="C398" s="11"/>
      <c r="D398" s="11"/>
      <c r="E398" s="11"/>
      <c r="F398" s="11"/>
      <c r="G398" s="11"/>
    </row>
    <row r="399">
      <c r="A399" s="11"/>
      <c r="B399" s="11"/>
      <c r="C399" s="11"/>
      <c r="D399" s="11"/>
      <c r="E399" s="11"/>
      <c r="F399" s="11"/>
      <c r="G399" s="11"/>
    </row>
    <row r="400">
      <c r="A400" s="11"/>
      <c r="B400" s="11"/>
      <c r="C400" s="11"/>
      <c r="D400" s="11"/>
      <c r="E400" s="11"/>
      <c r="F400" s="11"/>
      <c r="G400" s="11"/>
    </row>
    <row r="401">
      <c r="A401" s="11"/>
      <c r="B401" s="11"/>
      <c r="C401" s="11"/>
      <c r="D401" s="11"/>
      <c r="E401" s="11"/>
      <c r="F401" s="11"/>
      <c r="G401" s="11"/>
    </row>
    <row r="402">
      <c r="A402" s="11"/>
      <c r="B402" s="11"/>
      <c r="C402" s="11"/>
      <c r="D402" s="11"/>
      <c r="E402" s="11"/>
      <c r="F402" s="11"/>
      <c r="G402" s="11"/>
    </row>
    <row r="403">
      <c r="A403" s="11"/>
      <c r="B403" s="11"/>
      <c r="C403" s="11"/>
      <c r="D403" s="11"/>
      <c r="E403" s="11"/>
      <c r="F403" s="11"/>
      <c r="G403" s="11"/>
    </row>
    <row r="404">
      <c r="A404" s="11"/>
      <c r="B404" s="11"/>
      <c r="C404" s="11"/>
      <c r="D404" s="11"/>
      <c r="E404" s="11"/>
      <c r="F404" s="11"/>
      <c r="G404" s="11"/>
    </row>
    <row r="405">
      <c r="A405" s="11"/>
      <c r="B405" s="11"/>
      <c r="C405" s="11"/>
      <c r="D405" s="11"/>
      <c r="E405" s="11"/>
      <c r="F405" s="11"/>
      <c r="G405" s="11"/>
    </row>
    <row r="406">
      <c r="A406" s="11"/>
      <c r="B406" s="11"/>
      <c r="C406" s="11"/>
      <c r="D406" s="11"/>
      <c r="E406" s="11"/>
      <c r="F406" s="11"/>
      <c r="G406" s="11"/>
    </row>
    <row r="407">
      <c r="A407" s="11"/>
      <c r="B407" s="11"/>
      <c r="C407" s="11"/>
      <c r="D407" s="11"/>
      <c r="E407" s="11"/>
      <c r="F407" s="11"/>
      <c r="G407" s="11"/>
    </row>
    <row r="408">
      <c r="A408" s="11"/>
      <c r="B408" s="11"/>
      <c r="C408" s="11"/>
      <c r="D408" s="11"/>
      <c r="E408" s="11"/>
      <c r="F408" s="11"/>
      <c r="G408" s="11"/>
    </row>
    <row r="409">
      <c r="A409" s="11"/>
      <c r="B409" s="11"/>
      <c r="C409" s="11"/>
      <c r="D409" s="11"/>
      <c r="E409" s="11"/>
      <c r="F409" s="11"/>
      <c r="G409" s="11"/>
    </row>
    <row r="410">
      <c r="A410" s="11"/>
      <c r="B410" s="11"/>
      <c r="C410" s="11"/>
      <c r="D410" s="11"/>
      <c r="E410" s="11"/>
      <c r="F410" s="11"/>
      <c r="G410" s="11"/>
    </row>
    <row r="411">
      <c r="A411" s="11"/>
      <c r="B411" s="11"/>
      <c r="C411" s="11"/>
      <c r="D411" s="11"/>
      <c r="E411" s="11"/>
      <c r="F411" s="11"/>
      <c r="G411" s="11"/>
    </row>
    <row r="412">
      <c r="A412" s="11"/>
      <c r="B412" s="11"/>
      <c r="C412" s="11"/>
      <c r="D412" s="11"/>
      <c r="E412" s="11"/>
      <c r="F412" s="11"/>
      <c r="G412" s="11"/>
    </row>
    <row r="413">
      <c r="A413" s="11"/>
      <c r="B413" s="11"/>
      <c r="C413" s="11"/>
      <c r="D413" s="11"/>
      <c r="E413" s="11"/>
      <c r="F413" s="11"/>
      <c r="G413" s="11"/>
    </row>
    <row r="414">
      <c r="A414" s="11"/>
      <c r="B414" s="11"/>
      <c r="C414" s="11"/>
      <c r="D414" s="11"/>
      <c r="E414" s="11"/>
      <c r="F414" s="11"/>
      <c r="G414" s="11"/>
    </row>
    <row r="415">
      <c r="A415" s="11"/>
      <c r="B415" s="11"/>
      <c r="C415" s="11"/>
      <c r="D415" s="11"/>
      <c r="E415" s="11"/>
      <c r="F415" s="11"/>
      <c r="G415" s="11"/>
    </row>
    <row r="416">
      <c r="A416" s="11"/>
      <c r="B416" s="11"/>
      <c r="C416" s="11"/>
      <c r="D416" s="11"/>
      <c r="E416" s="11"/>
      <c r="F416" s="11"/>
      <c r="G416" s="11"/>
    </row>
    <row r="417">
      <c r="A417" s="11"/>
      <c r="B417" s="11"/>
      <c r="C417" s="11"/>
      <c r="D417" s="11"/>
      <c r="E417" s="11"/>
      <c r="F417" s="11"/>
      <c r="G417" s="11"/>
    </row>
    <row r="418">
      <c r="A418" s="11"/>
      <c r="B418" s="11"/>
      <c r="C418" s="11"/>
      <c r="D418" s="11"/>
      <c r="E418" s="11"/>
      <c r="F418" s="11"/>
      <c r="G418" s="11"/>
    </row>
    <row r="419">
      <c r="A419" s="11"/>
      <c r="B419" s="11"/>
      <c r="C419" s="11"/>
      <c r="D419" s="11"/>
      <c r="E419" s="11"/>
      <c r="F419" s="11"/>
      <c r="G419" s="11"/>
    </row>
    <row r="420">
      <c r="A420" s="11"/>
      <c r="B420" s="11"/>
      <c r="C420" s="11"/>
      <c r="D420" s="11"/>
      <c r="E420" s="11"/>
      <c r="F420" s="11"/>
      <c r="G420" s="11"/>
    </row>
    <row r="421">
      <c r="A421" s="11"/>
      <c r="B421" s="11"/>
      <c r="C421" s="11"/>
      <c r="D421" s="11"/>
      <c r="E421" s="11"/>
      <c r="F421" s="11"/>
      <c r="G421" s="11"/>
    </row>
    <row r="422">
      <c r="A422" s="11"/>
      <c r="B422" s="11"/>
      <c r="C422" s="11"/>
      <c r="D422" s="11"/>
      <c r="E422" s="11"/>
      <c r="F422" s="11"/>
      <c r="G422" s="11"/>
    </row>
    <row r="423">
      <c r="A423" s="11"/>
      <c r="B423" s="11"/>
      <c r="C423" s="11"/>
      <c r="D423" s="11"/>
      <c r="E423" s="11"/>
      <c r="F423" s="11"/>
      <c r="G423" s="11"/>
    </row>
    <row r="424">
      <c r="A424" s="11"/>
      <c r="B424" s="11"/>
      <c r="C424" s="11"/>
      <c r="D424" s="11"/>
      <c r="E424" s="11"/>
      <c r="F424" s="11"/>
      <c r="G424" s="11"/>
    </row>
    <row r="425">
      <c r="A425" s="11"/>
      <c r="B425" s="11"/>
      <c r="C425" s="11"/>
      <c r="D425" s="11"/>
      <c r="E425" s="11"/>
      <c r="F425" s="11"/>
      <c r="G425" s="11"/>
    </row>
    <row r="426">
      <c r="A426" s="11"/>
      <c r="B426" s="11"/>
      <c r="C426" s="11"/>
      <c r="D426" s="11"/>
      <c r="E426" s="11"/>
      <c r="F426" s="11"/>
      <c r="G426" s="11"/>
    </row>
    <row r="427">
      <c r="A427" s="11"/>
      <c r="B427" s="11"/>
      <c r="C427" s="11"/>
      <c r="D427" s="11"/>
      <c r="E427" s="11"/>
      <c r="F427" s="11"/>
      <c r="G427" s="11"/>
    </row>
    <row r="428">
      <c r="A428" s="11"/>
      <c r="B428" s="11"/>
      <c r="C428" s="11"/>
      <c r="D428" s="11"/>
      <c r="E428" s="11"/>
      <c r="F428" s="11"/>
      <c r="G428" s="11"/>
    </row>
    <row r="429">
      <c r="A429" s="11"/>
      <c r="B429" s="11"/>
      <c r="C429" s="11"/>
      <c r="D429" s="11"/>
      <c r="E429" s="11"/>
      <c r="F429" s="11"/>
      <c r="G429" s="11"/>
    </row>
    <row r="430">
      <c r="A430" s="11"/>
      <c r="B430" s="11"/>
      <c r="C430" s="11"/>
      <c r="D430" s="11"/>
      <c r="E430" s="11"/>
      <c r="F430" s="11"/>
      <c r="G430" s="11"/>
    </row>
    <row r="431">
      <c r="A431" s="11"/>
      <c r="B431" s="11"/>
      <c r="C431" s="11"/>
      <c r="D431" s="11"/>
      <c r="E431" s="11"/>
      <c r="F431" s="11"/>
      <c r="G431" s="11"/>
    </row>
    <row r="432">
      <c r="A432" s="11"/>
      <c r="B432" s="11"/>
      <c r="C432" s="11"/>
      <c r="D432" s="11"/>
      <c r="E432" s="11"/>
      <c r="F432" s="11"/>
      <c r="G432" s="11"/>
    </row>
    <row r="433">
      <c r="A433" s="11"/>
      <c r="B433" s="11"/>
      <c r="C433" s="11"/>
      <c r="D433" s="11"/>
      <c r="E433" s="11"/>
      <c r="F433" s="11"/>
      <c r="G433" s="11"/>
    </row>
    <row r="434">
      <c r="A434" s="11"/>
      <c r="B434" s="11"/>
      <c r="C434" s="11"/>
      <c r="D434" s="11"/>
      <c r="E434" s="11"/>
      <c r="F434" s="11"/>
      <c r="G434" s="11"/>
    </row>
    <row r="435">
      <c r="A435" s="11"/>
      <c r="B435" s="11"/>
      <c r="C435" s="11"/>
      <c r="D435" s="11"/>
      <c r="E435" s="11"/>
      <c r="F435" s="11"/>
      <c r="G435" s="11"/>
    </row>
    <row r="436">
      <c r="A436" s="11"/>
      <c r="B436" s="11"/>
      <c r="C436" s="11"/>
      <c r="D436" s="11"/>
      <c r="E436" s="11"/>
      <c r="F436" s="11"/>
      <c r="G436" s="11"/>
    </row>
    <row r="437">
      <c r="A437" s="11"/>
      <c r="B437" s="11"/>
      <c r="C437" s="11"/>
      <c r="D437" s="11"/>
      <c r="E437" s="11"/>
      <c r="F437" s="11"/>
      <c r="G437" s="11"/>
    </row>
    <row r="438">
      <c r="A438" s="11"/>
      <c r="B438" s="11"/>
      <c r="C438" s="11"/>
      <c r="D438" s="11"/>
      <c r="E438" s="11"/>
      <c r="F438" s="11"/>
      <c r="G438" s="11"/>
    </row>
    <row r="439">
      <c r="A439" s="11"/>
      <c r="B439" s="11"/>
      <c r="C439" s="11"/>
      <c r="D439" s="11"/>
      <c r="E439" s="11"/>
      <c r="F439" s="11"/>
      <c r="G439" s="11"/>
    </row>
    <row r="440">
      <c r="A440" s="11"/>
      <c r="B440" s="11"/>
      <c r="C440" s="11"/>
      <c r="D440" s="11"/>
      <c r="E440" s="11"/>
      <c r="F440" s="11"/>
      <c r="G440" s="11"/>
    </row>
    <row r="441">
      <c r="A441" s="11"/>
      <c r="B441" s="11"/>
      <c r="C441" s="11"/>
      <c r="D441" s="11"/>
      <c r="E441" s="11"/>
      <c r="F441" s="11"/>
      <c r="G441" s="11"/>
    </row>
    <row r="442">
      <c r="A442" s="11"/>
      <c r="B442" s="11"/>
      <c r="C442" s="11"/>
      <c r="D442" s="11"/>
      <c r="E442" s="11"/>
      <c r="F442" s="11"/>
      <c r="G442" s="11"/>
    </row>
    <row r="443">
      <c r="A443" s="11"/>
      <c r="B443" s="11"/>
      <c r="C443" s="11"/>
      <c r="D443" s="11"/>
      <c r="E443" s="11"/>
      <c r="F443" s="11"/>
      <c r="G443" s="11"/>
    </row>
    <row r="444">
      <c r="A444" s="11"/>
      <c r="B444" s="11"/>
      <c r="C444" s="11"/>
      <c r="D444" s="11"/>
      <c r="E444" s="11"/>
      <c r="F444" s="11"/>
      <c r="G444" s="11"/>
    </row>
    <row r="445">
      <c r="A445" s="11"/>
      <c r="B445" s="11"/>
      <c r="C445" s="11"/>
      <c r="D445" s="11"/>
      <c r="E445" s="11"/>
      <c r="F445" s="11"/>
      <c r="G445" s="11"/>
    </row>
    <row r="446">
      <c r="A446" s="11"/>
      <c r="B446" s="11"/>
      <c r="C446" s="11"/>
      <c r="D446" s="11"/>
      <c r="E446" s="11"/>
      <c r="F446" s="11"/>
      <c r="G446" s="11"/>
    </row>
    <row r="447">
      <c r="A447" s="11"/>
      <c r="B447" s="11"/>
      <c r="C447" s="11"/>
      <c r="D447" s="11"/>
      <c r="E447" s="11"/>
      <c r="F447" s="11"/>
      <c r="G447" s="11"/>
    </row>
    <row r="448">
      <c r="A448" s="11"/>
      <c r="B448" s="11"/>
      <c r="C448" s="11"/>
      <c r="D448" s="11"/>
      <c r="E448" s="11"/>
      <c r="F448" s="11"/>
      <c r="G448" s="11"/>
    </row>
    <row r="449">
      <c r="A449" s="11"/>
      <c r="B449" s="11"/>
      <c r="C449" s="11"/>
      <c r="D449" s="11"/>
      <c r="E449" s="11"/>
      <c r="F449" s="11"/>
      <c r="G449" s="11"/>
    </row>
    <row r="450">
      <c r="A450" s="11"/>
      <c r="B450" s="11"/>
      <c r="C450" s="11"/>
      <c r="D450" s="11"/>
      <c r="E450" s="11"/>
      <c r="F450" s="11"/>
      <c r="G450" s="11"/>
    </row>
    <row r="451">
      <c r="A451" s="11"/>
      <c r="B451" s="11"/>
      <c r="C451" s="11"/>
      <c r="D451" s="11"/>
      <c r="E451" s="11"/>
      <c r="F451" s="11"/>
      <c r="G451" s="11"/>
    </row>
    <row r="452">
      <c r="A452" s="11"/>
      <c r="B452" s="11"/>
      <c r="C452" s="11"/>
      <c r="D452" s="11"/>
      <c r="E452" s="11"/>
      <c r="F452" s="11"/>
      <c r="G452" s="11"/>
    </row>
    <row r="453">
      <c r="A453" s="11"/>
      <c r="B453" s="11"/>
      <c r="C453" s="11"/>
      <c r="D453" s="11"/>
      <c r="E453" s="11"/>
      <c r="F453" s="11"/>
      <c r="G453" s="11"/>
    </row>
    <row r="454">
      <c r="A454" s="11"/>
      <c r="B454" s="11"/>
      <c r="C454" s="11"/>
      <c r="D454" s="11"/>
      <c r="E454" s="11"/>
      <c r="F454" s="11"/>
      <c r="G454" s="11"/>
    </row>
    <row r="455">
      <c r="A455" s="11"/>
      <c r="B455" s="11"/>
      <c r="C455" s="11"/>
      <c r="D455" s="11"/>
      <c r="E455" s="11"/>
      <c r="F455" s="11"/>
      <c r="G455" s="11"/>
    </row>
    <row r="456">
      <c r="A456" s="11"/>
      <c r="B456" s="11"/>
      <c r="C456" s="11"/>
      <c r="D456" s="11"/>
      <c r="E456" s="11"/>
      <c r="F456" s="11"/>
      <c r="G456" s="11"/>
    </row>
    <row r="457">
      <c r="A457" s="11"/>
      <c r="B457" s="11"/>
      <c r="C457" s="11"/>
      <c r="D457" s="11"/>
      <c r="E457" s="11"/>
      <c r="F457" s="11"/>
      <c r="G457" s="11"/>
    </row>
    <row r="458">
      <c r="A458" s="11"/>
      <c r="B458" s="11"/>
      <c r="C458" s="11"/>
      <c r="D458" s="11"/>
      <c r="E458" s="11"/>
      <c r="F458" s="11"/>
      <c r="G458" s="11"/>
    </row>
    <row r="459">
      <c r="A459" s="11"/>
      <c r="B459" s="11"/>
      <c r="C459" s="11"/>
      <c r="D459" s="11"/>
      <c r="E459" s="11"/>
      <c r="F459" s="11"/>
      <c r="G459" s="11"/>
    </row>
    <row r="460">
      <c r="A460" s="11"/>
      <c r="B460" s="11"/>
      <c r="C460" s="11"/>
      <c r="D460" s="11"/>
      <c r="E460" s="11"/>
      <c r="F460" s="11"/>
      <c r="G460" s="11"/>
    </row>
    <row r="461">
      <c r="A461" s="11"/>
      <c r="B461" s="11"/>
      <c r="C461" s="11"/>
      <c r="D461" s="11"/>
      <c r="E461" s="11"/>
      <c r="F461" s="11"/>
      <c r="G461" s="11"/>
    </row>
    <row r="462">
      <c r="A462" s="11"/>
      <c r="B462" s="11"/>
      <c r="C462" s="11"/>
      <c r="D462" s="11"/>
      <c r="E462" s="11"/>
      <c r="F462" s="11"/>
      <c r="G462" s="11"/>
    </row>
    <row r="463">
      <c r="A463" s="11"/>
      <c r="B463" s="11"/>
      <c r="C463" s="11"/>
      <c r="D463" s="11"/>
      <c r="E463" s="11"/>
      <c r="F463" s="11"/>
      <c r="G463" s="11"/>
    </row>
    <row r="464">
      <c r="A464" s="11"/>
      <c r="B464" s="11"/>
      <c r="C464" s="11"/>
      <c r="D464" s="11"/>
      <c r="E464" s="11"/>
      <c r="F464" s="11"/>
      <c r="G464" s="11"/>
    </row>
    <row r="465">
      <c r="A465" s="11"/>
      <c r="B465" s="11"/>
      <c r="C465" s="11"/>
      <c r="D465" s="11"/>
      <c r="E465" s="11"/>
      <c r="F465" s="11"/>
      <c r="G465" s="11"/>
    </row>
    <row r="466">
      <c r="A466" s="11"/>
      <c r="B466" s="11"/>
      <c r="C466" s="11"/>
      <c r="D466" s="11"/>
      <c r="E466" s="11"/>
      <c r="F466" s="11"/>
      <c r="G466" s="11"/>
    </row>
    <row r="467">
      <c r="A467" s="11"/>
      <c r="B467" s="11"/>
      <c r="C467" s="11"/>
      <c r="D467" s="11"/>
      <c r="E467" s="11"/>
      <c r="F467" s="11"/>
      <c r="G467" s="11"/>
    </row>
    <row r="468">
      <c r="A468" s="11"/>
      <c r="B468" s="11"/>
      <c r="C468" s="11"/>
      <c r="D468" s="11"/>
      <c r="E468" s="11"/>
      <c r="F468" s="11"/>
      <c r="G468" s="11"/>
    </row>
    <row r="469">
      <c r="A469" s="11"/>
      <c r="B469" s="11"/>
      <c r="C469" s="11"/>
      <c r="D469" s="11"/>
      <c r="E469" s="11"/>
      <c r="F469" s="11"/>
      <c r="G469" s="11"/>
    </row>
    <row r="470">
      <c r="A470" s="11"/>
      <c r="B470" s="11"/>
      <c r="C470" s="11"/>
      <c r="D470" s="11"/>
      <c r="E470" s="11"/>
      <c r="F470" s="11"/>
      <c r="G470" s="11"/>
    </row>
    <row r="471">
      <c r="A471" s="11"/>
      <c r="B471" s="11"/>
      <c r="C471" s="11"/>
      <c r="D471" s="11"/>
      <c r="E471" s="11"/>
      <c r="F471" s="11"/>
      <c r="G471" s="11"/>
    </row>
    <row r="472">
      <c r="A472" s="11"/>
      <c r="B472" s="11"/>
      <c r="C472" s="11"/>
      <c r="D472" s="11"/>
      <c r="E472" s="11"/>
      <c r="F472" s="11"/>
      <c r="G472" s="11"/>
    </row>
    <row r="473">
      <c r="A473" s="11"/>
      <c r="B473" s="11"/>
      <c r="C473" s="11"/>
      <c r="D473" s="11"/>
      <c r="E473" s="11"/>
      <c r="F473" s="11"/>
      <c r="G473" s="11"/>
    </row>
    <row r="474">
      <c r="A474" s="11"/>
      <c r="B474" s="11"/>
      <c r="C474" s="11"/>
      <c r="D474" s="11"/>
      <c r="E474" s="11"/>
      <c r="F474" s="11"/>
      <c r="G474" s="11"/>
    </row>
    <row r="475">
      <c r="A475" s="11"/>
      <c r="B475" s="11"/>
      <c r="C475" s="11"/>
      <c r="D475" s="11"/>
      <c r="E475" s="11"/>
      <c r="F475" s="11"/>
      <c r="G475" s="11"/>
    </row>
    <row r="476">
      <c r="A476" s="11"/>
      <c r="B476" s="11"/>
      <c r="C476" s="11"/>
      <c r="D476" s="11"/>
      <c r="E476" s="11"/>
      <c r="F476" s="11"/>
      <c r="G476" s="11"/>
    </row>
    <row r="477">
      <c r="A477" s="11"/>
      <c r="B477" s="11"/>
      <c r="C477" s="11"/>
      <c r="D477" s="11"/>
      <c r="E477" s="11"/>
      <c r="F477" s="11"/>
      <c r="G477" s="11"/>
    </row>
    <row r="478">
      <c r="A478" s="11"/>
      <c r="B478" s="11"/>
      <c r="C478" s="11"/>
      <c r="D478" s="11"/>
      <c r="E478" s="11"/>
      <c r="F478" s="11"/>
      <c r="G478" s="11"/>
    </row>
    <row r="479">
      <c r="A479" s="11"/>
      <c r="B479" s="11"/>
      <c r="C479" s="11"/>
      <c r="D479" s="11"/>
      <c r="E479" s="11"/>
      <c r="F479" s="11"/>
      <c r="G479" s="11"/>
    </row>
    <row r="480">
      <c r="A480" s="11"/>
      <c r="B480" s="11"/>
      <c r="C480" s="11"/>
      <c r="D480" s="11"/>
      <c r="E480" s="11"/>
      <c r="F480" s="11"/>
      <c r="G480" s="11"/>
    </row>
    <row r="481">
      <c r="A481" s="11"/>
      <c r="B481" s="11"/>
      <c r="C481" s="11"/>
      <c r="D481" s="11"/>
      <c r="E481" s="11"/>
      <c r="F481" s="11"/>
      <c r="G481" s="11"/>
    </row>
    <row r="482">
      <c r="A482" s="11"/>
      <c r="B482" s="11"/>
      <c r="C482" s="11"/>
      <c r="D482" s="11"/>
      <c r="E482" s="11"/>
      <c r="F482" s="11"/>
      <c r="G482" s="11"/>
    </row>
    <row r="483">
      <c r="A483" s="11"/>
      <c r="B483" s="11"/>
      <c r="C483" s="11"/>
      <c r="D483" s="11"/>
      <c r="E483" s="11"/>
      <c r="F483" s="11"/>
      <c r="G483" s="11"/>
    </row>
    <row r="484">
      <c r="A484" s="11"/>
      <c r="B484" s="11"/>
      <c r="C484" s="11"/>
      <c r="D484" s="11"/>
      <c r="E484" s="11"/>
      <c r="F484" s="11"/>
      <c r="G484" s="11"/>
    </row>
    <row r="485">
      <c r="A485" s="11"/>
      <c r="B485" s="11"/>
      <c r="C485" s="11"/>
      <c r="D485" s="11"/>
      <c r="E485" s="11"/>
      <c r="F485" s="11"/>
      <c r="G485" s="11"/>
    </row>
    <row r="486">
      <c r="A486" s="11"/>
      <c r="B486" s="11"/>
      <c r="C486" s="11"/>
      <c r="D486" s="11"/>
      <c r="E486" s="11"/>
      <c r="F486" s="11"/>
      <c r="G486" s="11"/>
    </row>
    <row r="487">
      <c r="A487" s="11"/>
      <c r="B487" s="11"/>
      <c r="C487" s="11"/>
      <c r="D487" s="11"/>
      <c r="E487" s="11"/>
      <c r="F487" s="11"/>
      <c r="G487" s="11"/>
    </row>
    <row r="488">
      <c r="A488" s="11"/>
      <c r="B488" s="11"/>
      <c r="C488" s="11"/>
      <c r="D488" s="11"/>
      <c r="E488" s="11"/>
      <c r="F488" s="11"/>
      <c r="G488" s="11"/>
    </row>
    <row r="489">
      <c r="A489" s="11"/>
      <c r="B489" s="11"/>
      <c r="C489" s="11"/>
      <c r="D489" s="11"/>
      <c r="E489" s="11"/>
      <c r="F489" s="11"/>
      <c r="G489" s="11"/>
    </row>
    <row r="490">
      <c r="A490" s="11"/>
      <c r="B490" s="11"/>
      <c r="C490" s="11"/>
      <c r="D490" s="11"/>
      <c r="E490" s="11"/>
      <c r="F490" s="11"/>
      <c r="G490" s="11"/>
    </row>
    <row r="491">
      <c r="A491" s="11"/>
      <c r="B491" s="11"/>
      <c r="C491" s="11"/>
      <c r="D491" s="11"/>
      <c r="E491" s="11"/>
      <c r="F491" s="11"/>
      <c r="G491" s="11"/>
    </row>
    <row r="492">
      <c r="A492" s="11"/>
      <c r="B492" s="11"/>
      <c r="C492" s="11"/>
      <c r="D492" s="11"/>
      <c r="E492" s="11"/>
      <c r="F492" s="11"/>
      <c r="G492" s="11"/>
    </row>
    <row r="493">
      <c r="A493" s="11"/>
      <c r="B493" s="11"/>
      <c r="C493" s="11"/>
      <c r="D493" s="11"/>
      <c r="E493" s="11"/>
      <c r="F493" s="11"/>
      <c r="G493" s="11"/>
    </row>
    <row r="494">
      <c r="A494" s="11"/>
      <c r="B494" s="11"/>
      <c r="C494" s="11"/>
      <c r="D494" s="11"/>
      <c r="E494" s="11"/>
      <c r="F494" s="11"/>
      <c r="G494" s="11"/>
    </row>
    <row r="495">
      <c r="A495" s="11"/>
      <c r="B495" s="11"/>
      <c r="C495" s="11"/>
      <c r="D495" s="11"/>
      <c r="E495" s="11"/>
      <c r="F495" s="11"/>
      <c r="G495" s="11"/>
    </row>
    <row r="496">
      <c r="A496" s="11"/>
      <c r="B496" s="11"/>
      <c r="C496" s="11"/>
      <c r="D496" s="11"/>
      <c r="E496" s="11"/>
      <c r="F496" s="11"/>
      <c r="G496" s="11"/>
    </row>
    <row r="497">
      <c r="A497" s="11"/>
      <c r="B497" s="11"/>
      <c r="C497" s="11"/>
      <c r="D497" s="11"/>
      <c r="E497" s="11"/>
      <c r="F497" s="11"/>
      <c r="G497" s="11"/>
    </row>
    <row r="498">
      <c r="A498" s="11"/>
      <c r="B498" s="11"/>
      <c r="C498" s="11"/>
      <c r="D498" s="11"/>
      <c r="E498" s="11"/>
      <c r="F498" s="11"/>
      <c r="G498" s="11"/>
    </row>
    <row r="499">
      <c r="A499" s="11"/>
      <c r="B499" s="11"/>
      <c r="C499" s="11"/>
      <c r="D499" s="11"/>
      <c r="E499" s="11"/>
      <c r="F499" s="11"/>
      <c r="G499" s="11"/>
    </row>
    <row r="500">
      <c r="A500" s="11"/>
      <c r="B500" s="11"/>
      <c r="C500" s="11"/>
      <c r="D500" s="11"/>
      <c r="E500" s="11"/>
      <c r="F500" s="11"/>
      <c r="G500" s="11"/>
    </row>
    <row r="501">
      <c r="A501" s="11"/>
      <c r="B501" s="11"/>
      <c r="C501" s="11"/>
      <c r="D501" s="11"/>
      <c r="E501" s="11"/>
      <c r="F501" s="11"/>
      <c r="G501" s="11"/>
    </row>
    <row r="502">
      <c r="A502" s="11"/>
      <c r="B502" s="11"/>
      <c r="C502" s="11"/>
      <c r="D502" s="11"/>
      <c r="E502" s="11"/>
      <c r="F502" s="11"/>
      <c r="G502" s="11"/>
    </row>
    <row r="503">
      <c r="A503" s="11"/>
      <c r="B503" s="11"/>
      <c r="C503" s="11"/>
      <c r="D503" s="11"/>
      <c r="E503" s="11"/>
      <c r="F503" s="11"/>
      <c r="G503" s="11"/>
    </row>
    <row r="504">
      <c r="A504" s="11"/>
      <c r="B504" s="11"/>
      <c r="C504" s="11"/>
      <c r="D504" s="11"/>
      <c r="E504" s="11"/>
      <c r="F504" s="11"/>
      <c r="G504" s="11"/>
    </row>
    <row r="505">
      <c r="A505" s="11"/>
      <c r="B505" s="11"/>
      <c r="C505" s="11"/>
      <c r="D505" s="11"/>
      <c r="E505" s="11"/>
      <c r="F505" s="11"/>
      <c r="G505" s="11"/>
    </row>
    <row r="506">
      <c r="A506" s="11"/>
      <c r="B506" s="11"/>
      <c r="C506" s="11"/>
      <c r="D506" s="11"/>
      <c r="E506" s="11"/>
      <c r="F506" s="11"/>
      <c r="G506" s="11"/>
    </row>
    <row r="507">
      <c r="A507" s="11"/>
      <c r="B507" s="11"/>
      <c r="C507" s="11"/>
      <c r="D507" s="11"/>
      <c r="E507" s="11"/>
      <c r="F507" s="11"/>
      <c r="G507" s="11"/>
    </row>
    <row r="508">
      <c r="A508" s="11"/>
      <c r="B508" s="11"/>
      <c r="C508" s="11"/>
      <c r="D508" s="11"/>
      <c r="E508" s="11"/>
      <c r="F508" s="11"/>
      <c r="G508" s="11"/>
    </row>
    <row r="509">
      <c r="A509" s="11"/>
      <c r="B509" s="11"/>
      <c r="C509" s="11"/>
      <c r="D509" s="11"/>
      <c r="E509" s="11"/>
      <c r="F509" s="11"/>
      <c r="G509" s="11"/>
    </row>
    <row r="510">
      <c r="A510" s="11"/>
      <c r="B510" s="11"/>
      <c r="C510" s="11"/>
      <c r="D510" s="11"/>
      <c r="E510" s="11"/>
      <c r="F510" s="11"/>
      <c r="G510" s="11"/>
    </row>
    <row r="511">
      <c r="A511" s="11"/>
      <c r="B511" s="11"/>
      <c r="C511" s="11"/>
      <c r="D511" s="11"/>
      <c r="E511" s="11"/>
      <c r="F511" s="11"/>
      <c r="G511" s="11"/>
    </row>
    <row r="512">
      <c r="A512" s="11"/>
      <c r="B512" s="11"/>
      <c r="C512" s="11"/>
      <c r="D512" s="11"/>
      <c r="E512" s="11"/>
      <c r="F512" s="11"/>
      <c r="G512" s="11"/>
    </row>
    <row r="513">
      <c r="A513" s="11"/>
      <c r="B513" s="11"/>
      <c r="C513" s="11"/>
      <c r="D513" s="11"/>
      <c r="E513" s="11"/>
      <c r="F513" s="11"/>
      <c r="G513" s="11"/>
    </row>
    <row r="514">
      <c r="A514" s="11"/>
      <c r="B514" s="11"/>
      <c r="C514" s="11"/>
      <c r="D514" s="11"/>
      <c r="E514" s="11"/>
      <c r="F514" s="11"/>
      <c r="G514" s="11"/>
    </row>
    <row r="515">
      <c r="A515" s="11"/>
      <c r="B515" s="11"/>
      <c r="C515" s="11"/>
      <c r="D515" s="11"/>
      <c r="E515" s="11"/>
      <c r="F515" s="11"/>
      <c r="G515" s="11"/>
    </row>
    <row r="516">
      <c r="A516" s="11"/>
      <c r="B516" s="11"/>
      <c r="C516" s="11"/>
      <c r="D516" s="11"/>
      <c r="E516" s="11"/>
      <c r="F516" s="11"/>
      <c r="G516" s="11"/>
    </row>
    <row r="517">
      <c r="A517" s="11"/>
      <c r="B517" s="11"/>
      <c r="C517" s="11"/>
      <c r="D517" s="11"/>
      <c r="E517" s="11"/>
      <c r="F517" s="11"/>
      <c r="G517" s="11"/>
    </row>
    <row r="518">
      <c r="A518" s="11"/>
      <c r="B518" s="11"/>
      <c r="C518" s="11"/>
      <c r="D518" s="11"/>
      <c r="E518" s="11"/>
      <c r="F518" s="11"/>
      <c r="G518" s="11"/>
    </row>
    <row r="519">
      <c r="A519" s="11"/>
      <c r="B519" s="11"/>
      <c r="C519" s="11"/>
      <c r="D519" s="11"/>
      <c r="E519" s="11"/>
      <c r="F519" s="11"/>
      <c r="G519" s="11"/>
    </row>
    <row r="520">
      <c r="A520" s="11"/>
      <c r="B520" s="11"/>
      <c r="C520" s="11"/>
      <c r="D520" s="11"/>
      <c r="E520" s="11"/>
      <c r="F520" s="11"/>
      <c r="G520" s="11"/>
    </row>
    <row r="521">
      <c r="A521" s="11"/>
      <c r="B521" s="11"/>
      <c r="C521" s="11"/>
      <c r="D521" s="11"/>
      <c r="E521" s="11"/>
      <c r="F521" s="11"/>
      <c r="G521" s="11"/>
    </row>
    <row r="522">
      <c r="A522" s="11"/>
      <c r="B522" s="11"/>
      <c r="C522" s="11"/>
      <c r="D522" s="11"/>
      <c r="E522" s="11"/>
      <c r="F522" s="11"/>
      <c r="G522" s="11"/>
    </row>
    <row r="523">
      <c r="A523" s="11"/>
      <c r="B523" s="11"/>
      <c r="C523" s="11"/>
      <c r="D523" s="11"/>
      <c r="E523" s="11"/>
      <c r="F523" s="11"/>
      <c r="G523" s="11"/>
    </row>
    <row r="524">
      <c r="A524" s="11"/>
      <c r="B524" s="11"/>
      <c r="C524" s="11"/>
      <c r="D524" s="11"/>
      <c r="E524" s="11"/>
      <c r="F524" s="11"/>
      <c r="G524" s="11"/>
    </row>
    <row r="525">
      <c r="A525" s="11"/>
      <c r="B525" s="11"/>
      <c r="C525" s="11"/>
      <c r="D525" s="11"/>
      <c r="E525" s="11"/>
      <c r="F525" s="11"/>
      <c r="G525" s="11"/>
    </row>
    <row r="526">
      <c r="A526" s="11"/>
      <c r="B526" s="11"/>
      <c r="C526" s="11"/>
      <c r="D526" s="11"/>
      <c r="E526" s="11"/>
      <c r="F526" s="11"/>
      <c r="G526" s="11"/>
    </row>
    <row r="527">
      <c r="A527" s="11"/>
      <c r="B527" s="11"/>
      <c r="C527" s="11"/>
      <c r="D527" s="11"/>
      <c r="E527" s="11"/>
      <c r="F527" s="11"/>
      <c r="G527" s="11"/>
    </row>
    <row r="528">
      <c r="A528" s="11"/>
      <c r="B528" s="11"/>
      <c r="C528" s="11"/>
      <c r="D528" s="11"/>
      <c r="E528" s="11"/>
      <c r="F528" s="11"/>
      <c r="G528" s="11"/>
    </row>
    <row r="529">
      <c r="A529" s="11"/>
      <c r="B529" s="11"/>
      <c r="C529" s="11"/>
      <c r="D529" s="11"/>
      <c r="E529" s="11"/>
      <c r="F529" s="11"/>
      <c r="G529" s="11"/>
    </row>
    <row r="530">
      <c r="A530" s="11"/>
      <c r="B530" s="11"/>
      <c r="C530" s="11"/>
      <c r="D530" s="11"/>
      <c r="E530" s="11"/>
      <c r="F530" s="11"/>
      <c r="G530" s="11"/>
    </row>
    <row r="531">
      <c r="A531" s="11"/>
      <c r="B531" s="11"/>
      <c r="C531" s="11"/>
      <c r="D531" s="11"/>
      <c r="E531" s="11"/>
      <c r="F531" s="11"/>
      <c r="G531" s="11"/>
    </row>
    <row r="532">
      <c r="A532" s="11"/>
      <c r="B532" s="11"/>
      <c r="C532" s="11"/>
      <c r="D532" s="11"/>
      <c r="E532" s="11"/>
      <c r="F532" s="11"/>
      <c r="G532" s="11"/>
    </row>
    <row r="533">
      <c r="A533" s="11"/>
      <c r="B533" s="11"/>
      <c r="C533" s="11"/>
      <c r="D533" s="11"/>
      <c r="E533" s="11"/>
      <c r="F533" s="11"/>
      <c r="G533" s="11"/>
    </row>
    <row r="534">
      <c r="A534" s="11"/>
      <c r="B534" s="11"/>
      <c r="C534" s="11"/>
      <c r="D534" s="11"/>
      <c r="E534" s="11"/>
      <c r="F534" s="11"/>
      <c r="G534" s="11"/>
    </row>
    <row r="535">
      <c r="A535" s="11"/>
      <c r="B535" s="11"/>
      <c r="C535" s="11"/>
      <c r="D535" s="11"/>
      <c r="E535" s="11"/>
      <c r="F535" s="11"/>
      <c r="G535" s="11"/>
    </row>
    <row r="536">
      <c r="A536" s="11"/>
      <c r="B536" s="11"/>
      <c r="C536" s="11"/>
      <c r="D536" s="11"/>
      <c r="E536" s="11"/>
      <c r="F536" s="11"/>
      <c r="G536" s="11"/>
    </row>
    <row r="537">
      <c r="A537" s="11"/>
      <c r="B537" s="11"/>
      <c r="C537" s="11"/>
      <c r="D537" s="11"/>
      <c r="E537" s="11"/>
      <c r="F537" s="11"/>
      <c r="G537" s="11"/>
    </row>
    <row r="538">
      <c r="A538" s="11"/>
      <c r="B538" s="11"/>
      <c r="C538" s="11"/>
      <c r="D538" s="11"/>
      <c r="E538" s="11"/>
      <c r="F538" s="11"/>
      <c r="G538" s="11"/>
    </row>
    <row r="539">
      <c r="A539" s="11"/>
      <c r="B539" s="11"/>
      <c r="C539" s="11"/>
      <c r="D539" s="11"/>
      <c r="E539" s="11"/>
      <c r="F539" s="11"/>
      <c r="G539" s="11"/>
    </row>
    <row r="540">
      <c r="A540" s="11"/>
      <c r="B540" s="11"/>
      <c r="C540" s="11"/>
      <c r="D540" s="11"/>
      <c r="E540" s="11"/>
      <c r="F540" s="11"/>
      <c r="G540" s="11"/>
    </row>
    <row r="541">
      <c r="A541" s="11"/>
      <c r="B541" s="11"/>
      <c r="C541" s="11"/>
      <c r="D541" s="11"/>
      <c r="E541" s="11"/>
      <c r="F541" s="11"/>
      <c r="G541" s="11"/>
    </row>
    <row r="542">
      <c r="A542" s="11"/>
      <c r="B542" s="11"/>
      <c r="C542" s="11"/>
      <c r="D542" s="11"/>
      <c r="E542" s="11"/>
      <c r="F542" s="11"/>
      <c r="G542" s="11"/>
    </row>
    <row r="543">
      <c r="A543" s="11"/>
      <c r="B543" s="11"/>
      <c r="C543" s="11"/>
      <c r="D543" s="11"/>
      <c r="E543" s="11"/>
      <c r="F543" s="11"/>
      <c r="G543" s="11"/>
    </row>
    <row r="544">
      <c r="A544" s="11"/>
      <c r="B544" s="11"/>
      <c r="C544" s="11"/>
      <c r="D544" s="11"/>
      <c r="E544" s="11"/>
      <c r="F544" s="11"/>
      <c r="G544" s="11"/>
    </row>
    <row r="545">
      <c r="A545" s="11"/>
      <c r="B545" s="11"/>
      <c r="C545" s="11"/>
      <c r="D545" s="11"/>
      <c r="E545" s="11"/>
      <c r="F545" s="11"/>
      <c r="G545" s="11"/>
    </row>
    <row r="546">
      <c r="A546" s="11"/>
      <c r="B546" s="11"/>
      <c r="C546" s="11"/>
      <c r="D546" s="11"/>
      <c r="E546" s="11"/>
      <c r="F546" s="11"/>
      <c r="G546" s="11"/>
    </row>
    <row r="547">
      <c r="A547" s="11"/>
      <c r="B547" s="11"/>
      <c r="C547" s="11"/>
      <c r="D547" s="11"/>
      <c r="E547" s="11"/>
      <c r="F547" s="11"/>
      <c r="G547" s="11"/>
    </row>
    <row r="548">
      <c r="A548" s="11"/>
      <c r="B548" s="11"/>
      <c r="C548" s="11"/>
      <c r="D548" s="11"/>
      <c r="E548" s="11"/>
      <c r="F548" s="11"/>
      <c r="G548" s="11"/>
    </row>
    <row r="549">
      <c r="A549" s="11"/>
      <c r="B549" s="11"/>
      <c r="C549" s="11"/>
      <c r="D549" s="11"/>
      <c r="E549" s="11"/>
      <c r="F549" s="11"/>
      <c r="G549" s="11"/>
    </row>
    <row r="550">
      <c r="A550" s="11"/>
      <c r="B550" s="11"/>
      <c r="C550" s="11"/>
      <c r="D550" s="11"/>
      <c r="E550" s="11"/>
      <c r="F550" s="11"/>
      <c r="G550" s="11"/>
    </row>
    <row r="551">
      <c r="A551" s="11"/>
      <c r="B551" s="11"/>
      <c r="C551" s="11"/>
      <c r="D551" s="11"/>
      <c r="E551" s="11"/>
      <c r="F551" s="11"/>
      <c r="G551" s="11"/>
    </row>
    <row r="552">
      <c r="A552" s="11"/>
      <c r="B552" s="11"/>
      <c r="C552" s="11"/>
      <c r="D552" s="11"/>
      <c r="E552" s="11"/>
      <c r="F552" s="11"/>
      <c r="G552" s="11"/>
    </row>
    <row r="553">
      <c r="A553" s="11"/>
      <c r="B553" s="11"/>
      <c r="C553" s="11"/>
      <c r="D553" s="11"/>
      <c r="E553" s="11"/>
      <c r="F553" s="11"/>
      <c r="G553" s="11"/>
    </row>
    <row r="554">
      <c r="A554" s="11"/>
      <c r="B554" s="11"/>
      <c r="C554" s="11"/>
      <c r="D554" s="11"/>
      <c r="E554" s="11"/>
      <c r="F554" s="11"/>
      <c r="G554" s="11"/>
    </row>
    <row r="555">
      <c r="A555" s="11"/>
      <c r="B555" s="11"/>
      <c r="C555" s="11"/>
      <c r="D555" s="11"/>
      <c r="E555" s="11"/>
      <c r="F555" s="11"/>
      <c r="G555" s="11"/>
    </row>
    <row r="556">
      <c r="A556" s="11"/>
      <c r="B556" s="11"/>
      <c r="C556" s="11"/>
      <c r="D556" s="11"/>
      <c r="E556" s="11"/>
      <c r="F556" s="11"/>
      <c r="G556" s="11"/>
    </row>
    <row r="557">
      <c r="A557" s="11"/>
      <c r="B557" s="11"/>
      <c r="C557" s="11"/>
      <c r="D557" s="11"/>
      <c r="E557" s="11"/>
      <c r="F557" s="11"/>
      <c r="G557" s="11"/>
    </row>
    <row r="558">
      <c r="A558" s="11"/>
      <c r="B558" s="11"/>
      <c r="C558" s="11"/>
      <c r="D558" s="11"/>
      <c r="E558" s="11"/>
      <c r="F558" s="11"/>
      <c r="G558" s="11"/>
    </row>
    <row r="559">
      <c r="A559" s="11"/>
      <c r="B559" s="11"/>
      <c r="C559" s="11"/>
      <c r="D559" s="11"/>
      <c r="E559" s="11"/>
      <c r="F559" s="11"/>
      <c r="G559" s="11"/>
    </row>
    <row r="560">
      <c r="A560" s="11"/>
      <c r="B560" s="11"/>
      <c r="C560" s="11"/>
      <c r="D560" s="11"/>
      <c r="E560" s="11"/>
      <c r="F560" s="11"/>
      <c r="G560" s="11"/>
    </row>
    <row r="561">
      <c r="A561" s="11"/>
      <c r="B561" s="11"/>
      <c r="C561" s="11"/>
      <c r="D561" s="11"/>
      <c r="E561" s="11"/>
      <c r="F561" s="11"/>
      <c r="G561" s="11"/>
    </row>
    <row r="562">
      <c r="A562" s="11"/>
      <c r="B562" s="11"/>
      <c r="C562" s="11"/>
      <c r="D562" s="11"/>
      <c r="E562" s="11"/>
      <c r="F562" s="11"/>
      <c r="G562" s="11"/>
    </row>
    <row r="563">
      <c r="A563" s="11"/>
      <c r="B563" s="11"/>
      <c r="C563" s="11"/>
      <c r="D563" s="11"/>
      <c r="E563" s="11"/>
      <c r="F563" s="11"/>
      <c r="G563" s="11"/>
    </row>
    <row r="564">
      <c r="A564" s="11"/>
      <c r="B564" s="11"/>
      <c r="C564" s="11"/>
      <c r="D564" s="11"/>
      <c r="E564" s="11"/>
      <c r="F564" s="11"/>
      <c r="G564" s="11"/>
    </row>
    <row r="565">
      <c r="A565" s="11"/>
      <c r="B565" s="11"/>
      <c r="C565" s="11"/>
      <c r="D565" s="11"/>
      <c r="E565" s="11"/>
      <c r="F565" s="11"/>
      <c r="G565" s="11"/>
    </row>
    <row r="566">
      <c r="A566" s="11"/>
      <c r="B566" s="11"/>
      <c r="C566" s="11"/>
      <c r="D566" s="11"/>
      <c r="E566" s="11"/>
      <c r="F566" s="11"/>
      <c r="G566" s="11"/>
    </row>
    <row r="567">
      <c r="A567" s="11"/>
      <c r="B567" s="11"/>
      <c r="C567" s="11"/>
      <c r="D567" s="11"/>
      <c r="E567" s="11"/>
      <c r="F567" s="11"/>
      <c r="G567" s="11"/>
    </row>
    <row r="568">
      <c r="A568" s="11"/>
      <c r="B568" s="11"/>
      <c r="C568" s="11"/>
      <c r="D568" s="11"/>
      <c r="E568" s="11"/>
      <c r="F568" s="11"/>
      <c r="G568" s="11"/>
    </row>
    <row r="569">
      <c r="A569" s="11"/>
      <c r="B569" s="11"/>
      <c r="C569" s="11"/>
      <c r="D569" s="11"/>
      <c r="E569" s="11"/>
      <c r="F569" s="11"/>
      <c r="G569" s="11"/>
    </row>
    <row r="570">
      <c r="A570" s="11"/>
      <c r="B570" s="11"/>
      <c r="C570" s="11"/>
      <c r="D570" s="11"/>
      <c r="E570" s="11"/>
      <c r="F570" s="11"/>
      <c r="G570" s="11"/>
    </row>
    <row r="571">
      <c r="A571" s="11"/>
      <c r="B571" s="11"/>
      <c r="C571" s="11"/>
      <c r="D571" s="11"/>
      <c r="E571" s="11"/>
      <c r="F571" s="11"/>
      <c r="G571" s="11"/>
    </row>
    <row r="572">
      <c r="A572" s="11"/>
      <c r="B572" s="11"/>
      <c r="C572" s="11"/>
      <c r="D572" s="11"/>
      <c r="E572" s="11"/>
      <c r="F572" s="11"/>
      <c r="G572" s="11"/>
    </row>
    <row r="573">
      <c r="A573" s="11"/>
      <c r="B573" s="11"/>
      <c r="C573" s="11"/>
      <c r="D573" s="11"/>
      <c r="E573" s="11"/>
      <c r="F573" s="11"/>
      <c r="G573" s="11"/>
    </row>
    <row r="574">
      <c r="A574" s="11"/>
      <c r="B574" s="11"/>
      <c r="C574" s="11"/>
      <c r="D574" s="11"/>
      <c r="E574" s="11"/>
      <c r="F574" s="11"/>
      <c r="G574" s="11"/>
    </row>
    <row r="575">
      <c r="A575" s="11"/>
      <c r="B575" s="11"/>
      <c r="C575" s="11"/>
      <c r="D575" s="11"/>
      <c r="E575" s="11"/>
      <c r="F575" s="11"/>
      <c r="G575" s="11"/>
    </row>
    <row r="576">
      <c r="A576" s="11"/>
      <c r="B576" s="11"/>
      <c r="C576" s="11"/>
      <c r="D576" s="11"/>
      <c r="E576" s="11"/>
      <c r="F576" s="11"/>
      <c r="G576" s="11"/>
    </row>
    <row r="577">
      <c r="A577" s="11"/>
      <c r="B577" s="11"/>
      <c r="C577" s="11"/>
      <c r="D577" s="11"/>
      <c r="E577" s="11"/>
      <c r="F577" s="11"/>
      <c r="G577" s="11"/>
    </row>
    <row r="578">
      <c r="A578" s="11"/>
      <c r="B578" s="11"/>
      <c r="C578" s="11"/>
      <c r="D578" s="11"/>
      <c r="E578" s="11"/>
      <c r="F578" s="11"/>
      <c r="G578" s="11"/>
    </row>
    <row r="579">
      <c r="A579" s="11"/>
      <c r="B579" s="11"/>
      <c r="C579" s="11"/>
      <c r="D579" s="11"/>
      <c r="E579" s="11"/>
      <c r="F579" s="11"/>
      <c r="G579" s="11"/>
    </row>
    <row r="580">
      <c r="A580" s="11"/>
      <c r="B580" s="11"/>
      <c r="C580" s="11"/>
      <c r="D580" s="11"/>
      <c r="E580" s="11"/>
      <c r="F580" s="11"/>
      <c r="G580" s="11"/>
    </row>
    <row r="581">
      <c r="A581" s="11"/>
      <c r="B581" s="11"/>
      <c r="C581" s="11"/>
      <c r="D581" s="11"/>
      <c r="E581" s="11"/>
      <c r="F581" s="11"/>
      <c r="G581" s="11"/>
    </row>
    <row r="582">
      <c r="A582" s="11"/>
      <c r="B582" s="11"/>
      <c r="C582" s="11"/>
      <c r="D582" s="11"/>
      <c r="E582" s="11"/>
      <c r="F582" s="11"/>
      <c r="G582" s="11"/>
    </row>
    <row r="583">
      <c r="A583" s="11"/>
      <c r="B583" s="11"/>
      <c r="C583" s="11"/>
      <c r="D583" s="11"/>
      <c r="E583" s="11"/>
      <c r="F583" s="11"/>
      <c r="G583" s="11"/>
    </row>
    <row r="584">
      <c r="A584" s="11"/>
      <c r="B584" s="11"/>
      <c r="C584" s="11"/>
      <c r="D584" s="11"/>
      <c r="E584" s="11"/>
      <c r="F584" s="11"/>
      <c r="G584" s="11"/>
    </row>
    <row r="585">
      <c r="A585" s="11"/>
      <c r="B585" s="11"/>
      <c r="C585" s="11"/>
      <c r="D585" s="11"/>
      <c r="E585" s="11"/>
      <c r="F585" s="11"/>
      <c r="G585" s="11"/>
    </row>
    <row r="586">
      <c r="A586" s="11"/>
      <c r="B586" s="11"/>
      <c r="C586" s="11"/>
      <c r="D586" s="11"/>
      <c r="E586" s="11"/>
      <c r="F586" s="11"/>
      <c r="G586" s="11"/>
    </row>
    <row r="587">
      <c r="A587" s="11"/>
      <c r="B587" s="11"/>
      <c r="C587" s="11"/>
      <c r="D587" s="11"/>
      <c r="E587" s="11"/>
      <c r="F587" s="11"/>
      <c r="G587" s="11"/>
    </row>
    <row r="588">
      <c r="A588" s="11"/>
      <c r="B588" s="11"/>
      <c r="C588" s="11"/>
      <c r="D588" s="11"/>
      <c r="E588" s="11"/>
      <c r="F588" s="11"/>
      <c r="G588" s="11"/>
    </row>
    <row r="589">
      <c r="A589" s="11"/>
      <c r="B589" s="11"/>
      <c r="C589" s="11"/>
      <c r="D589" s="11"/>
      <c r="E589" s="11"/>
      <c r="F589" s="11"/>
      <c r="G589" s="11"/>
    </row>
    <row r="590">
      <c r="A590" s="11"/>
      <c r="B590" s="11"/>
      <c r="C590" s="11"/>
      <c r="D590" s="11"/>
      <c r="E590" s="11"/>
      <c r="F590" s="11"/>
      <c r="G590" s="11"/>
    </row>
    <row r="591">
      <c r="A591" s="11"/>
      <c r="B591" s="11"/>
      <c r="C591" s="11"/>
      <c r="D591" s="11"/>
      <c r="E591" s="11"/>
      <c r="F591" s="11"/>
      <c r="G591" s="11"/>
    </row>
    <row r="592">
      <c r="A592" s="11"/>
      <c r="B592" s="11"/>
      <c r="C592" s="11"/>
      <c r="D592" s="11"/>
      <c r="E592" s="11"/>
      <c r="F592" s="11"/>
      <c r="G592" s="11"/>
    </row>
    <row r="593">
      <c r="A593" s="11"/>
      <c r="B593" s="11"/>
      <c r="C593" s="11"/>
      <c r="D593" s="11"/>
      <c r="E593" s="11"/>
      <c r="F593" s="11"/>
      <c r="G593" s="11"/>
    </row>
    <row r="594">
      <c r="A594" s="11"/>
      <c r="B594" s="11"/>
      <c r="C594" s="11"/>
      <c r="D594" s="11"/>
      <c r="E594" s="11"/>
      <c r="F594" s="11"/>
      <c r="G594" s="11"/>
    </row>
    <row r="595">
      <c r="A595" s="11"/>
      <c r="B595" s="11"/>
      <c r="C595" s="11"/>
      <c r="D595" s="11"/>
      <c r="E595" s="11"/>
      <c r="F595" s="11"/>
      <c r="G595" s="11"/>
    </row>
    <row r="596">
      <c r="A596" s="11"/>
      <c r="B596" s="11"/>
      <c r="C596" s="11"/>
      <c r="D596" s="11"/>
      <c r="E596" s="11"/>
      <c r="F596" s="11"/>
      <c r="G596" s="11"/>
    </row>
    <row r="597">
      <c r="A597" s="11"/>
      <c r="B597" s="11"/>
      <c r="C597" s="11"/>
      <c r="D597" s="11"/>
      <c r="E597" s="11"/>
      <c r="F597" s="11"/>
      <c r="G597" s="11"/>
    </row>
    <row r="598">
      <c r="A598" s="11"/>
      <c r="B598" s="11"/>
      <c r="C598" s="11"/>
      <c r="D598" s="11"/>
      <c r="E598" s="11"/>
      <c r="F598" s="11"/>
      <c r="G598" s="11"/>
    </row>
    <row r="599">
      <c r="A599" s="11"/>
      <c r="B599" s="11"/>
      <c r="C599" s="11"/>
      <c r="D599" s="11"/>
      <c r="E599" s="11"/>
      <c r="F599" s="11"/>
      <c r="G599" s="11"/>
    </row>
    <row r="600">
      <c r="A600" s="11"/>
      <c r="B600" s="11"/>
      <c r="C600" s="11"/>
      <c r="D600" s="11"/>
      <c r="E600" s="11"/>
      <c r="F600" s="11"/>
      <c r="G600" s="11"/>
    </row>
    <row r="601">
      <c r="A601" s="11"/>
      <c r="B601" s="11"/>
      <c r="C601" s="11"/>
      <c r="D601" s="11"/>
      <c r="E601" s="11"/>
      <c r="F601" s="11"/>
      <c r="G601" s="11"/>
    </row>
    <row r="602">
      <c r="A602" s="11"/>
      <c r="B602" s="11"/>
      <c r="C602" s="11"/>
      <c r="D602" s="11"/>
      <c r="E602" s="11"/>
      <c r="F602" s="11"/>
      <c r="G602" s="11"/>
    </row>
    <row r="603">
      <c r="A603" s="11"/>
      <c r="B603" s="11"/>
      <c r="C603" s="11"/>
      <c r="D603" s="11"/>
      <c r="E603" s="11"/>
      <c r="F603" s="11"/>
      <c r="G603" s="11"/>
    </row>
    <row r="604">
      <c r="A604" s="11"/>
      <c r="B604" s="11"/>
      <c r="C604" s="11"/>
      <c r="D604" s="11"/>
      <c r="E604" s="11"/>
      <c r="F604" s="11"/>
      <c r="G604" s="11"/>
    </row>
    <row r="605">
      <c r="A605" s="11"/>
      <c r="B605" s="11"/>
      <c r="C605" s="11"/>
      <c r="D605" s="11"/>
      <c r="E605" s="11"/>
      <c r="F605" s="11"/>
      <c r="G605" s="11"/>
    </row>
    <row r="606">
      <c r="A606" s="11"/>
      <c r="B606" s="11"/>
      <c r="C606" s="11"/>
      <c r="D606" s="11"/>
      <c r="E606" s="11"/>
      <c r="F606" s="11"/>
      <c r="G606" s="11"/>
    </row>
    <row r="607">
      <c r="A607" s="11"/>
      <c r="B607" s="11"/>
      <c r="C607" s="11"/>
      <c r="D607" s="11"/>
      <c r="E607" s="11"/>
      <c r="F607" s="11"/>
      <c r="G607" s="11"/>
    </row>
    <row r="608">
      <c r="A608" s="11"/>
      <c r="B608" s="11"/>
      <c r="C608" s="11"/>
      <c r="D608" s="11"/>
      <c r="E608" s="11"/>
      <c r="F608" s="11"/>
      <c r="G608" s="11"/>
    </row>
    <row r="609">
      <c r="A609" s="11"/>
      <c r="B609" s="11"/>
      <c r="C609" s="11"/>
      <c r="D609" s="11"/>
      <c r="E609" s="11"/>
      <c r="F609" s="11"/>
      <c r="G609" s="11"/>
    </row>
    <row r="610">
      <c r="A610" s="11"/>
      <c r="B610" s="11"/>
      <c r="C610" s="11"/>
      <c r="D610" s="11"/>
      <c r="E610" s="11"/>
      <c r="F610" s="11"/>
      <c r="G610" s="11"/>
    </row>
    <row r="611">
      <c r="A611" s="11"/>
      <c r="B611" s="11"/>
      <c r="C611" s="11"/>
      <c r="D611" s="11"/>
      <c r="E611" s="11"/>
      <c r="F611" s="11"/>
      <c r="G611" s="11"/>
    </row>
    <row r="612">
      <c r="A612" s="11"/>
      <c r="B612" s="11"/>
      <c r="C612" s="11"/>
      <c r="D612" s="11"/>
      <c r="E612" s="11"/>
      <c r="F612" s="11"/>
      <c r="G612" s="11"/>
    </row>
    <row r="613">
      <c r="A613" s="11"/>
      <c r="B613" s="11"/>
      <c r="C613" s="11"/>
      <c r="D613" s="11"/>
      <c r="E613" s="11"/>
      <c r="F613" s="11"/>
      <c r="G613" s="11"/>
    </row>
    <row r="614">
      <c r="A614" s="11"/>
      <c r="B614" s="11"/>
      <c r="C614" s="11"/>
      <c r="D614" s="11"/>
      <c r="E614" s="11"/>
      <c r="F614" s="11"/>
      <c r="G614" s="11"/>
    </row>
    <row r="615">
      <c r="A615" s="11"/>
      <c r="B615" s="11"/>
      <c r="C615" s="11"/>
      <c r="D615" s="11"/>
      <c r="E615" s="11"/>
      <c r="F615" s="11"/>
      <c r="G615" s="11"/>
    </row>
    <row r="616">
      <c r="A616" s="11"/>
      <c r="B616" s="11"/>
      <c r="C616" s="11"/>
      <c r="D616" s="11"/>
      <c r="E616" s="11"/>
      <c r="F616" s="11"/>
      <c r="G616" s="11"/>
    </row>
    <row r="617">
      <c r="A617" s="11"/>
      <c r="B617" s="11"/>
      <c r="C617" s="11"/>
      <c r="D617" s="11"/>
      <c r="E617" s="11"/>
      <c r="F617" s="11"/>
      <c r="G617" s="11"/>
    </row>
    <row r="618">
      <c r="A618" s="11"/>
      <c r="B618" s="11"/>
      <c r="C618" s="11"/>
      <c r="D618" s="11"/>
      <c r="E618" s="11"/>
      <c r="F618" s="11"/>
      <c r="G618" s="11"/>
    </row>
    <row r="619">
      <c r="A619" s="11"/>
      <c r="B619" s="11"/>
      <c r="C619" s="11"/>
      <c r="D619" s="11"/>
      <c r="E619" s="11"/>
      <c r="F619" s="11"/>
      <c r="G619" s="11"/>
    </row>
    <row r="620">
      <c r="A620" s="11"/>
      <c r="B620" s="11"/>
      <c r="C620" s="11"/>
      <c r="D620" s="11"/>
      <c r="E620" s="11"/>
      <c r="F620" s="11"/>
      <c r="G620" s="11"/>
    </row>
    <row r="621">
      <c r="A621" s="11"/>
      <c r="B621" s="11"/>
      <c r="C621" s="11"/>
      <c r="D621" s="11"/>
      <c r="E621" s="11"/>
      <c r="F621" s="11"/>
      <c r="G621" s="11"/>
    </row>
    <row r="622">
      <c r="A622" s="11"/>
      <c r="B622" s="11"/>
      <c r="C622" s="11"/>
      <c r="D622" s="11"/>
      <c r="E622" s="11"/>
      <c r="F622" s="11"/>
      <c r="G622" s="11"/>
    </row>
    <row r="623">
      <c r="A623" s="11"/>
      <c r="B623" s="11"/>
      <c r="C623" s="11"/>
      <c r="D623" s="11"/>
      <c r="E623" s="11"/>
      <c r="F623" s="11"/>
      <c r="G623" s="11"/>
    </row>
    <row r="624">
      <c r="A624" s="11"/>
      <c r="B624" s="11"/>
      <c r="C624" s="11"/>
      <c r="D624" s="11"/>
      <c r="E624" s="11"/>
      <c r="F624" s="11"/>
      <c r="G624" s="11"/>
    </row>
    <row r="625">
      <c r="A625" s="11"/>
      <c r="B625" s="11"/>
      <c r="C625" s="11"/>
      <c r="D625" s="11"/>
      <c r="E625" s="11"/>
      <c r="F625" s="11"/>
      <c r="G625" s="11"/>
    </row>
    <row r="626">
      <c r="A626" s="11"/>
      <c r="B626" s="11"/>
      <c r="C626" s="11"/>
      <c r="D626" s="11"/>
      <c r="E626" s="11"/>
      <c r="F626" s="11"/>
      <c r="G626" s="11"/>
    </row>
    <row r="627">
      <c r="A627" s="11"/>
      <c r="B627" s="11"/>
      <c r="C627" s="11"/>
      <c r="D627" s="11"/>
      <c r="E627" s="11"/>
      <c r="F627" s="11"/>
      <c r="G627" s="11"/>
    </row>
    <row r="628">
      <c r="A628" s="11"/>
      <c r="B628" s="11"/>
      <c r="C628" s="11"/>
      <c r="D628" s="11"/>
      <c r="E628" s="11"/>
      <c r="F628" s="11"/>
      <c r="G628" s="11"/>
    </row>
    <row r="629">
      <c r="A629" s="11"/>
      <c r="B629" s="11"/>
      <c r="C629" s="11"/>
      <c r="D629" s="11"/>
      <c r="E629" s="11"/>
      <c r="F629" s="11"/>
      <c r="G629" s="11"/>
    </row>
    <row r="630">
      <c r="A630" s="11"/>
      <c r="B630" s="11"/>
      <c r="C630" s="11"/>
      <c r="D630" s="11"/>
      <c r="E630" s="11"/>
      <c r="F630" s="11"/>
      <c r="G630" s="11"/>
    </row>
    <row r="631">
      <c r="A631" s="11"/>
      <c r="B631" s="11"/>
      <c r="C631" s="11"/>
      <c r="D631" s="11"/>
      <c r="E631" s="11"/>
      <c r="F631" s="11"/>
      <c r="G631" s="11"/>
    </row>
    <row r="632">
      <c r="A632" s="11"/>
      <c r="B632" s="11"/>
      <c r="C632" s="11"/>
      <c r="D632" s="11"/>
      <c r="E632" s="11"/>
      <c r="F632" s="11"/>
      <c r="G632" s="11"/>
    </row>
    <row r="633">
      <c r="A633" s="11"/>
      <c r="B633" s="11"/>
      <c r="C633" s="11"/>
      <c r="D633" s="11"/>
      <c r="E633" s="11"/>
      <c r="F633" s="11"/>
      <c r="G633" s="11"/>
    </row>
    <row r="634">
      <c r="A634" s="11"/>
      <c r="B634" s="11"/>
      <c r="C634" s="11"/>
      <c r="D634" s="11"/>
      <c r="E634" s="11"/>
      <c r="F634" s="11"/>
      <c r="G634" s="11"/>
    </row>
    <row r="635">
      <c r="A635" s="11"/>
      <c r="B635" s="11"/>
      <c r="C635" s="11"/>
      <c r="D635" s="11"/>
      <c r="E635" s="11"/>
      <c r="F635" s="11"/>
      <c r="G635" s="11"/>
    </row>
    <row r="636">
      <c r="A636" s="11"/>
      <c r="B636" s="11"/>
      <c r="C636" s="11"/>
      <c r="D636" s="11"/>
      <c r="E636" s="11"/>
      <c r="F636" s="11"/>
      <c r="G636" s="11"/>
    </row>
    <row r="637">
      <c r="A637" s="11"/>
      <c r="B637" s="11"/>
      <c r="C637" s="11"/>
      <c r="D637" s="11"/>
      <c r="E637" s="11"/>
      <c r="F637" s="11"/>
      <c r="G637" s="11"/>
    </row>
    <row r="638">
      <c r="A638" s="11"/>
      <c r="B638" s="11"/>
      <c r="C638" s="11"/>
      <c r="D638" s="11"/>
      <c r="E638" s="11"/>
      <c r="F638" s="11"/>
      <c r="G638" s="11"/>
    </row>
    <row r="639">
      <c r="A639" s="11"/>
      <c r="B639" s="11"/>
      <c r="C639" s="11"/>
      <c r="D639" s="11"/>
      <c r="E639" s="11"/>
      <c r="F639" s="11"/>
      <c r="G639" s="11"/>
    </row>
    <row r="640">
      <c r="A640" s="11"/>
      <c r="B640" s="11"/>
      <c r="C640" s="11"/>
      <c r="D640" s="11"/>
      <c r="E640" s="11"/>
      <c r="F640" s="11"/>
      <c r="G640" s="11"/>
    </row>
    <row r="641">
      <c r="A641" s="11"/>
      <c r="B641" s="11"/>
      <c r="C641" s="11"/>
      <c r="D641" s="11"/>
      <c r="E641" s="11"/>
      <c r="F641" s="11"/>
      <c r="G641" s="11"/>
    </row>
    <row r="642">
      <c r="A642" s="11"/>
      <c r="B642" s="11"/>
      <c r="C642" s="11"/>
      <c r="D642" s="11"/>
      <c r="E642" s="11"/>
      <c r="F642" s="11"/>
      <c r="G642" s="11"/>
    </row>
    <row r="643">
      <c r="A643" s="11"/>
      <c r="B643" s="11"/>
      <c r="C643" s="11"/>
      <c r="D643" s="11"/>
      <c r="E643" s="11"/>
      <c r="F643" s="11"/>
      <c r="G643" s="11"/>
    </row>
    <row r="644">
      <c r="A644" s="11"/>
      <c r="B644" s="11"/>
      <c r="C644" s="11"/>
      <c r="D644" s="11"/>
      <c r="E644" s="11"/>
      <c r="F644" s="11"/>
      <c r="G644" s="11"/>
    </row>
    <row r="645">
      <c r="A645" s="11"/>
      <c r="B645" s="11"/>
      <c r="C645" s="11"/>
      <c r="D645" s="11"/>
      <c r="E645" s="11"/>
      <c r="F645" s="11"/>
      <c r="G645" s="11"/>
    </row>
    <row r="646">
      <c r="A646" s="11"/>
      <c r="B646" s="11"/>
      <c r="C646" s="11"/>
      <c r="D646" s="11"/>
      <c r="E646" s="11"/>
      <c r="F646" s="11"/>
      <c r="G646" s="11"/>
    </row>
    <row r="647">
      <c r="A647" s="11"/>
      <c r="B647" s="11"/>
      <c r="C647" s="11"/>
      <c r="D647" s="11"/>
      <c r="E647" s="11"/>
      <c r="F647" s="11"/>
      <c r="G647" s="11"/>
    </row>
    <row r="648">
      <c r="A648" s="11"/>
      <c r="B648" s="11"/>
      <c r="C648" s="11"/>
      <c r="D648" s="11"/>
      <c r="E648" s="11"/>
      <c r="F648" s="11"/>
      <c r="G648" s="11"/>
    </row>
    <row r="649">
      <c r="A649" s="11"/>
      <c r="B649" s="11"/>
      <c r="C649" s="11"/>
      <c r="D649" s="11"/>
      <c r="E649" s="11"/>
      <c r="F649" s="11"/>
      <c r="G649" s="11"/>
    </row>
    <row r="650">
      <c r="A650" s="11"/>
      <c r="B650" s="11"/>
      <c r="C650" s="11"/>
      <c r="D650" s="11"/>
      <c r="E650" s="11"/>
      <c r="F650" s="11"/>
      <c r="G650" s="11"/>
    </row>
    <row r="651">
      <c r="A651" s="11"/>
      <c r="B651" s="11"/>
      <c r="C651" s="11"/>
      <c r="D651" s="11"/>
      <c r="E651" s="11"/>
      <c r="F651" s="11"/>
      <c r="G651" s="11"/>
    </row>
    <row r="652">
      <c r="A652" s="11"/>
      <c r="B652" s="11"/>
      <c r="C652" s="11"/>
      <c r="D652" s="11"/>
      <c r="E652" s="11"/>
      <c r="F652" s="11"/>
      <c r="G652" s="11"/>
    </row>
    <row r="653">
      <c r="A653" s="11"/>
      <c r="B653" s="11"/>
      <c r="C653" s="11"/>
      <c r="D653" s="11"/>
      <c r="E653" s="11"/>
      <c r="F653" s="11"/>
      <c r="G653" s="11"/>
    </row>
    <row r="654">
      <c r="A654" s="11"/>
      <c r="B654" s="11"/>
      <c r="C654" s="11"/>
      <c r="D654" s="11"/>
      <c r="E654" s="11"/>
      <c r="F654" s="11"/>
      <c r="G654" s="11"/>
    </row>
    <row r="655">
      <c r="A655" s="11"/>
      <c r="B655" s="11"/>
      <c r="C655" s="11"/>
      <c r="D655" s="11"/>
      <c r="E655" s="11"/>
      <c r="F655" s="11"/>
      <c r="G655" s="11"/>
    </row>
    <row r="656">
      <c r="A656" s="11"/>
      <c r="B656" s="11"/>
      <c r="C656" s="11"/>
      <c r="D656" s="11"/>
      <c r="E656" s="11"/>
      <c r="F656" s="11"/>
      <c r="G656" s="11"/>
    </row>
    <row r="657">
      <c r="A657" s="11"/>
      <c r="B657" s="11"/>
      <c r="C657" s="11"/>
      <c r="D657" s="11"/>
      <c r="E657" s="11"/>
      <c r="F657" s="11"/>
      <c r="G657" s="11"/>
    </row>
    <row r="658">
      <c r="A658" s="11"/>
      <c r="B658" s="11"/>
      <c r="C658" s="11"/>
      <c r="D658" s="11"/>
      <c r="E658" s="11"/>
      <c r="F658" s="11"/>
      <c r="G658" s="11"/>
    </row>
    <row r="659">
      <c r="A659" s="11"/>
      <c r="B659" s="11"/>
      <c r="C659" s="11"/>
      <c r="D659" s="11"/>
      <c r="E659" s="11"/>
      <c r="F659" s="11"/>
      <c r="G659" s="11"/>
    </row>
    <row r="660">
      <c r="A660" s="11"/>
      <c r="B660" s="11"/>
      <c r="C660" s="11"/>
      <c r="D660" s="11"/>
      <c r="E660" s="11"/>
      <c r="F660" s="11"/>
      <c r="G660" s="11"/>
    </row>
    <row r="661">
      <c r="A661" s="11"/>
      <c r="B661" s="11"/>
      <c r="C661" s="11"/>
      <c r="D661" s="11"/>
      <c r="E661" s="11"/>
      <c r="F661" s="11"/>
      <c r="G661" s="11"/>
    </row>
    <row r="662">
      <c r="A662" s="11"/>
      <c r="B662" s="11"/>
      <c r="C662" s="11"/>
      <c r="D662" s="11"/>
      <c r="E662" s="11"/>
      <c r="F662" s="11"/>
      <c r="G662" s="11"/>
    </row>
    <row r="663">
      <c r="A663" s="11"/>
      <c r="B663" s="11"/>
      <c r="C663" s="11"/>
      <c r="D663" s="11"/>
      <c r="E663" s="11"/>
      <c r="F663" s="11"/>
      <c r="G663" s="11"/>
    </row>
    <row r="664">
      <c r="A664" s="11"/>
      <c r="B664" s="11"/>
      <c r="C664" s="11"/>
      <c r="D664" s="11"/>
      <c r="E664" s="11"/>
      <c r="F664" s="11"/>
      <c r="G664" s="11"/>
    </row>
    <row r="665">
      <c r="A665" s="11"/>
      <c r="B665" s="11"/>
      <c r="C665" s="11"/>
      <c r="D665" s="11"/>
      <c r="E665" s="11"/>
      <c r="F665" s="11"/>
      <c r="G665" s="11"/>
    </row>
    <row r="666">
      <c r="A666" s="11"/>
      <c r="B666" s="11"/>
      <c r="C666" s="11"/>
      <c r="D666" s="11"/>
      <c r="E666" s="11"/>
      <c r="F666" s="11"/>
      <c r="G666" s="11"/>
    </row>
    <row r="667">
      <c r="A667" s="11"/>
      <c r="B667" s="11"/>
      <c r="C667" s="11"/>
      <c r="D667" s="11"/>
      <c r="E667" s="11"/>
      <c r="F667" s="11"/>
      <c r="G667" s="11"/>
    </row>
    <row r="668">
      <c r="A668" s="11"/>
      <c r="B668" s="11"/>
      <c r="C668" s="11"/>
      <c r="D668" s="11"/>
      <c r="E668" s="11"/>
      <c r="F668" s="11"/>
      <c r="G668" s="11"/>
    </row>
    <row r="669">
      <c r="A669" s="11"/>
      <c r="B669" s="11"/>
      <c r="C669" s="11"/>
      <c r="D669" s="11"/>
      <c r="E669" s="11"/>
      <c r="F669" s="11"/>
      <c r="G669" s="11"/>
    </row>
    <row r="670">
      <c r="A670" s="11"/>
      <c r="B670" s="11"/>
      <c r="C670" s="11"/>
      <c r="D670" s="11"/>
      <c r="E670" s="11"/>
      <c r="F670" s="11"/>
      <c r="G670" s="11"/>
    </row>
    <row r="671">
      <c r="A671" s="11"/>
      <c r="B671" s="11"/>
      <c r="C671" s="11"/>
      <c r="D671" s="11"/>
      <c r="E671" s="11"/>
      <c r="F671" s="11"/>
      <c r="G671" s="11"/>
    </row>
    <row r="672">
      <c r="A672" s="11"/>
      <c r="B672" s="11"/>
      <c r="C672" s="11"/>
      <c r="D672" s="11"/>
      <c r="E672" s="11"/>
      <c r="F672" s="11"/>
      <c r="G672" s="11"/>
    </row>
    <row r="673">
      <c r="A673" s="11"/>
      <c r="B673" s="11"/>
      <c r="C673" s="11"/>
      <c r="D673" s="11"/>
      <c r="E673" s="11"/>
      <c r="F673" s="11"/>
      <c r="G673" s="11"/>
    </row>
    <row r="674">
      <c r="A674" s="11"/>
      <c r="B674" s="11"/>
      <c r="C674" s="11"/>
      <c r="D674" s="11"/>
      <c r="E674" s="11"/>
      <c r="F674" s="11"/>
      <c r="G674" s="11"/>
    </row>
    <row r="675">
      <c r="A675" s="11"/>
      <c r="B675" s="11"/>
      <c r="C675" s="11"/>
      <c r="D675" s="11"/>
      <c r="E675" s="11"/>
      <c r="F675" s="11"/>
      <c r="G675" s="11"/>
    </row>
    <row r="676">
      <c r="A676" s="11"/>
      <c r="B676" s="11"/>
      <c r="C676" s="11"/>
      <c r="D676" s="11"/>
      <c r="E676" s="11"/>
      <c r="F676" s="11"/>
      <c r="G676" s="11"/>
    </row>
    <row r="677">
      <c r="A677" s="11"/>
      <c r="B677" s="11"/>
      <c r="C677" s="11"/>
      <c r="D677" s="11"/>
      <c r="E677" s="11"/>
      <c r="F677" s="11"/>
      <c r="G677" s="11"/>
    </row>
    <row r="678">
      <c r="A678" s="11"/>
      <c r="B678" s="11"/>
      <c r="C678" s="11"/>
      <c r="D678" s="11"/>
      <c r="E678" s="11"/>
      <c r="F678" s="11"/>
      <c r="G678" s="11"/>
    </row>
    <row r="679">
      <c r="A679" s="11"/>
      <c r="B679" s="11"/>
      <c r="C679" s="11"/>
      <c r="D679" s="11"/>
      <c r="E679" s="11"/>
      <c r="F679" s="11"/>
      <c r="G679" s="11"/>
    </row>
    <row r="680">
      <c r="A680" s="11"/>
      <c r="B680" s="11"/>
      <c r="C680" s="11"/>
      <c r="D680" s="11"/>
      <c r="E680" s="11"/>
      <c r="F680" s="11"/>
      <c r="G680" s="11"/>
    </row>
    <row r="681">
      <c r="A681" s="11"/>
      <c r="B681" s="11"/>
      <c r="C681" s="11"/>
      <c r="D681" s="11"/>
      <c r="E681" s="11"/>
      <c r="F681" s="11"/>
      <c r="G681" s="11"/>
    </row>
    <row r="682">
      <c r="A682" s="11"/>
      <c r="B682" s="11"/>
      <c r="C682" s="11"/>
      <c r="D682" s="11"/>
      <c r="E682" s="11"/>
      <c r="F682" s="11"/>
      <c r="G682" s="11"/>
    </row>
    <row r="683">
      <c r="A683" s="11"/>
      <c r="B683" s="11"/>
      <c r="C683" s="11"/>
      <c r="D683" s="11"/>
      <c r="E683" s="11"/>
      <c r="F683" s="11"/>
      <c r="G683" s="11"/>
    </row>
    <row r="684">
      <c r="A684" s="11"/>
      <c r="B684" s="11"/>
      <c r="C684" s="11"/>
      <c r="D684" s="11"/>
      <c r="E684" s="11"/>
      <c r="F684" s="11"/>
      <c r="G684" s="11"/>
    </row>
    <row r="685">
      <c r="A685" s="11"/>
      <c r="B685" s="11"/>
      <c r="C685" s="11"/>
      <c r="D685" s="11"/>
      <c r="E685" s="11"/>
      <c r="F685" s="11"/>
      <c r="G685" s="11"/>
    </row>
    <row r="686">
      <c r="A686" s="11"/>
      <c r="B686" s="11"/>
      <c r="C686" s="11"/>
      <c r="D686" s="11"/>
      <c r="E686" s="11"/>
      <c r="F686" s="11"/>
      <c r="G686" s="11"/>
    </row>
    <row r="687">
      <c r="A687" s="11"/>
      <c r="B687" s="11"/>
      <c r="C687" s="11"/>
      <c r="D687" s="11"/>
      <c r="E687" s="11"/>
      <c r="F687" s="11"/>
      <c r="G687" s="11"/>
    </row>
    <row r="688">
      <c r="A688" s="11"/>
      <c r="B688" s="11"/>
      <c r="C688" s="11"/>
      <c r="D688" s="11"/>
      <c r="E688" s="11"/>
      <c r="F688" s="11"/>
      <c r="G688" s="11"/>
    </row>
    <row r="689">
      <c r="A689" s="11"/>
      <c r="B689" s="11"/>
      <c r="C689" s="11"/>
      <c r="D689" s="11"/>
      <c r="E689" s="11"/>
      <c r="F689" s="11"/>
      <c r="G689" s="11"/>
    </row>
    <row r="690">
      <c r="A690" s="11"/>
      <c r="B690" s="11"/>
      <c r="C690" s="11"/>
      <c r="D690" s="11"/>
      <c r="E690" s="11"/>
      <c r="F690" s="11"/>
      <c r="G690" s="11"/>
    </row>
    <row r="691">
      <c r="A691" s="11"/>
      <c r="B691" s="11"/>
      <c r="C691" s="11"/>
      <c r="D691" s="11"/>
      <c r="E691" s="11"/>
      <c r="F691" s="11"/>
      <c r="G691" s="11"/>
    </row>
    <row r="692">
      <c r="A692" s="11"/>
      <c r="B692" s="11"/>
      <c r="C692" s="11"/>
      <c r="D692" s="11"/>
      <c r="E692" s="11"/>
      <c r="F692" s="11"/>
      <c r="G692" s="11"/>
    </row>
    <row r="693">
      <c r="A693" s="11"/>
      <c r="B693" s="11"/>
      <c r="C693" s="11"/>
      <c r="D693" s="11"/>
      <c r="E693" s="11"/>
      <c r="F693" s="11"/>
      <c r="G693" s="11"/>
    </row>
    <row r="694">
      <c r="A694" s="11"/>
      <c r="B694" s="11"/>
      <c r="C694" s="11"/>
      <c r="D694" s="11"/>
      <c r="E694" s="11"/>
      <c r="F694" s="11"/>
      <c r="G694" s="11"/>
    </row>
    <row r="695">
      <c r="A695" s="11"/>
      <c r="B695" s="11"/>
      <c r="C695" s="11"/>
      <c r="D695" s="11"/>
      <c r="E695" s="11"/>
      <c r="F695" s="11"/>
      <c r="G695" s="11"/>
    </row>
    <row r="696">
      <c r="A696" s="11"/>
      <c r="B696" s="11"/>
      <c r="C696" s="11"/>
      <c r="D696" s="11"/>
      <c r="E696" s="11"/>
      <c r="F696" s="11"/>
      <c r="G696" s="11"/>
    </row>
    <row r="697">
      <c r="A697" s="11"/>
      <c r="B697" s="11"/>
      <c r="C697" s="11"/>
      <c r="D697" s="11"/>
      <c r="E697" s="11"/>
      <c r="F697" s="11"/>
      <c r="G697" s="11"/>
    </row>
    <row r="698">
      <c r="A698" s="11"/>
      <c r="B698" s="11"/>
      <c r="C698" s="11"/>
      <c r="D698" s="11"/>
      <c r="E698" s="11"/>
      <c r="F698" s="11"/>
      <c r="G698" s="11"/>
    </row>
    <row r="699">
      <c r="A699" s="11"/>
      <c r="B699" s="11"/>
      <c r="C699" s="11"/>
      <c r="D699" s="11"/>
      <c r="E699" s="11"/>
      <c r="F699" s="11"/>
      <c r="G699" s="11"/>
    </row>
    <row r="700">
      <c r="A700" s="11"/>
      <c r="B700" s="11"/>
      <c r="C700" s="11"/>
      <c r="D700" s="11"/>
      <c r="E700" s="11"/>
      <c r="F700" s="11"/>
      <c r="G700" s="11"/>
    </row>
    <row r="701">
      <c r="A701" s="11"/>
      <c r="B701" s="11"/>
      <c r="C701" s="11"/>
      <c r="D701" s="11"/>
      <c r="E701" s="11"/>
      <c r="F701" s="11"/>
      <c r="G701" s="11"/>
    </row>
    <row r="702">
      <c r="A702" s="11"/>
      <c r="B702" s="11"/>
      <c r="C702" s="11"/>
      <c r="D702" s="11"/>
      <c r="E702" s="11"/>
      <c r="F702" s="11"/>
      <c r="G702" s="11"/>
    </row>
    <row r="703">
      <c r="A703" s="11"/>
      <c r="B703" s="11"/>
      <c r="C703" s="11"/>
      <c r="D703" s="11"/>
      <c r="E703" s="11"/>
      <c r="F703" s="11"/>
      <c r="G703" s="11"/>
    </row>
    <row r="704">
      <c r="A704" s="11"/>
      <c r="B704" s="11"/>
      <c r="C704" s="11"/>
      <c r="D704" s="11"/>
      <c r="E704" s="11"/>
      <c r="F704" s="11"/>
      <c r="G704" s="11"/>
    </row>
    <row r="705">
      <c r="A705" s="11"/>
      <c r="B705" s="11"/>
      <c r="C705" s="11"/>
      <c r="D705" s="11"/>
      <c r="E705" s="11"/>
      <c r="F705" s="11"/>
      <c r="G705" s="11"/>
    </row>
    <row r="706">
      <c r="A706" s="11"/>
      <c r="B706" s="11"/>
      <c r="C706" s="11"/>
      <c r="D706" s="11"/>
      <c r="E706" s="11"/>
      <c r="F706" s="11"/>
      <c r="G706" s="11"/>
    </row>
    <row r="707">
      <c r="A707" s="11"/>
      <c r="B707" s="11"/>
      <c r="C707" s="11"/>
      <c r="D707" s="11"/>
      <c r="E707" s="11"/>
      <c r="F707" s="11"/>
      <c r="G707" s="11"/>
    </row>
    <row r="708">
      <c r="A708" s="11"/>
      <c r="B708" s="11"/>
      <c r="C708" s="11"/>
      <c r="D708" s="11"/>
      <c r="E708" s="11"/>
      <c r="F708" s="11"/>
      <c r="G708" s="11"/>
    </row>
    <row r="709">
      <c r="A709" s="11"/>
      <c r="B709" s="11"/>
      <c r="C709" s="11"/>
      <c r="D709" s="11"/>
      <c r="E709" s="11"/>
      <c r="F709" s="11"/>
      <c r="G709" s="11"/>
    </row>
    <row r="710">
      <c r="A710" s="11"/>
      <c r="B710" s="11"/>
      <c r="C710" s="11"/>
      <c r="D710" s="11"/>
      <c r="E710" s="11"/>
      <c r="F710" s="11"/>
      <c r="G710" s="11"/>
    </row>
    <row r="711">
      <c r="A711" s="11"/>
      <c r="B711" s="11"/>
      <c r="C711" s="11"/>
      <c r="D711" s="11"/>
      <c r="E711" s="11"/>
      <c r="F711" s="11"/>
      <c r="G711" s="11"/>
    </row>
    <row r="712">
      <c r="A712" s="11"/>
      <c r="B712" s="11"/>
      <c r="C712" s="11"/>
      <c r="D712" s="11"/>
      <c r="E712" s="11"/>
      <c r="F712" s="11"/>
      <c r="G712" s="11"/>
    </row>
    <row r="713">
      <c r="A713" s="11"/>
      <c r="B713" s="11"/>
      <c r="C713" s="11"/>
      <c r="D713" s="11"/>
      <c r="E713" s="11"/>
      <c r="F713" s="11"/>
      <c r="G713" s="11"/>
    </row>
    <row r="714">
      <c r="A714" s="11"/>
      <c r="B714" s="11"/>
      <c r="C714" s="11"/>
      <c r="D714" s="11"/>
      <c r="E714" s="11"/>
      <c r="F714" s="11"/>
      <c r="G714" s="11"/>
    </row>
    <row r="715">
      <c r="A715" s="11"/>
      <c r="B715" s="11"/>
      <c r="C715" s="11"/>
      <c r="D715" s="11"/>
      <c r="E715" s="11"/>
      <c r="F715" s="11"/>
      <c r="G715" s="11"/>
    </row>
    <row r="716">
      <c r="A716" s="11"/>
      <c r="B716" s="11"/>
      <c r="C716" s="11"/>
      <c r="D716" s="11"/>
      <c r="E716" s="11"/>
      <c r="F716" s="11"/>
      <c r="G716" s="11"/>
    </row>
    <row r="717">
      <c r="A717" s="11"/>
      <c r="B717" s="11"/>
      <c r="C717" s="11"/>
      <c r="D717" s="11"/>
      <c r="E717" s="11"/>
      <c r="F717" s="11"/>
      <c r="G717" s="11"/>
    </row>
    <row r="718">
      <c r="A718" s="11"/>
      <c r="B718" s="11"/>
      <c r="C718" s="11"/>
      <c r="D718" s="11"/>
      <c r="E718" s="11"/>
      <c r="F718" s="11"/>
      <c r="G718" s="11"/>
    </row>
    <row r="719">
      <c r="A719" s="11"/>
      <c r="B719" s="11"/>
      <c r="C719" s="11"/>
      <c r="D719" s="11"/>
      <c r="E719" s="11"/>
      <c r="F719" s="11"/>
      <c r="G719" s="11"/>
    </row>
    <row r="720">
      <c r="A720" s="11"/>
      <c r="B720" s="11"/>
      <c r="C720" s="11"/>
      <c r="D720" s="11"/>
      <c r="E720" s="11"/>
      <c r="F720" s="11"/>
      <c r="G720" s="11"/>
    </row>
    <row r="721">
      <c r="A721" s="11"/>
      <c r="B721" s="11"/>
      <c r="C721" s="11"/>
      <c r="D721" s="11"/>
      <c r="E721" s="11"/>
      <c r="F721" s="11"/>
      <c r="G721" s="11"/>
    </row>
    <row r="722">
      <c r="A722" s="11"/>
      <c r="B722" s="11"/>
      <c r="C722" s="11"/>
      <c r="D722" s="11"/>
      <c r="E722" s="11"/>
      <c r="F722" s="11"/>
      <c r="G722" s="11"/>
    </row>
    <row r="723">
      <c r="A723" s="11"/>
      <c r="B723" s="11"/>
      <c r="C723" s="11"/>
      <c r="D723" s="11"/>
      <c r="E723" s="11"/>
      <c r="F723" s="11"/>
      <c r="G723" s="11"/>
    </row>
    <row r="724">
      <c r="A724" s="11"/>
      <c r="B724" s="11"/>
      <c r="C724" s="11"/>
      <c r="D724" s="11"/>
      <c r="E724" s="11"/>
      <c r="F724" s="11"/>
      <c r="G724" s="11"/>
    </row>
    <row r="725">
      <c r="A725" s="11"/>
      <c r="B725" s="11"/>
      <c r="C725" s="11"/>
      <c r="D725" s="11"/>
      <c r="E725" s="11"/>
      <c r="F725" s="11"/>
      <c r="G725" s="11"/>
    </row>
    <row r="726">
      <c r="A726" s="11"/>
      <c r="B726" s="11"/>
      <c r="C726" s="11"/>
      <c r="D726" s="11"/>
      <c r="E726" s="11"/>
      <c r="F726" s="11"/>
      <c r="G726" s="11"/>
    </row>
    <row r="727">
      <c r="A727" s="11"/>
      <c r="B727" s="11"/>
      <c r="C727" s="11"/>
      <c r="D727" s="11"/>
      <c r="E727" s="11"/>
      <c r="F727" s="11"/>
      <c r="G727" s="11"/>
    </row>
    <row r="728">
      <c r="A728" s="11"/>
      <c r="B728" s="11"/>
      <c r="C728" s="11"/>
      <c r="D728" s="11"/>
      <c r="E728" s="11"/>
      <c r="F728" s="11"/>
      <c r="G728" s="11"/>
    </row>
    <row r="729">
      <c r="A729" s="11"/>
      <c r="B729" s="11"/>
      <c r="C729" s="11"/>
      <c r="D729" s="11"/>
      <c r="E729" s="11"/>
      <c r="F729" s="11"/>
      <c r="G729" s="11"/>
    </row>
    <row r="730">
      <c r="A730" s="11"/>
      <c r="B730" s="11"/>
      <c r="C730" s="11"/>
      <c r="D730" s="11"/>
      <c r="E730" s="11"/>
      <c r="F730" s="11"/>
      <c r="G730" s="11"/>
    </row>
    <row r="731">
      <c r="A731" s="11"/>
      <c r="B731" s="11"/>
      <c r="C731" s="11"/>
      <c r="D731" s="11"/>
      <c r="E731" s="11"/>
      <c r="F731" s="11"/>
      <c r="G731" s="11"/>
    </row>
    <row r="732">
      <c r="A732" s="11"/>
      <c r="B732" s="11"/>
      <c r="C732" s="11"/>
      <c r="D732" s="11"/>
      <c r="E732" s="11"/>
      <c r="F732" s="11"/>
      <c r="G732" s="11"/>
    </row>
    <row r="733">
      <c r="A733" s="11"/>
      <c r="B733" s="11"/>
      <c r="C733" s="11"/>
      <c r="D733" s="11"/>
      <c r="E733" s="11"/>
      <c r="F733" s="11"/>
      <c r="G733" s="11"/>
    </row>
    <row r="734">
      <c r="A734" s="11"/>
      <c r="B734" s="11"/>
      <c r="C734" s="11"/>
      <c r="D734" s="11"/>
      <c r="E734" s="11"/>
      <c r="F734" s="11"/>
      <c r="G734" s="11"/>
    </row>
    <row r="735">
      <c r="A735" s="11"/>
      <c r="B735" s="11"/>
      <c r="C735" s="11"/>
      <c r="D735" s="11"/>
      <c r="E735" s="11"/>
      <c r="F735" s="11"/>
      <c r="G735" s="11"/>
    </row>
    <row r="736">
      <c r="A736" s="11"/>
      <c r="B736" s="11"/>
      <c r="C736" s="11"/>
      <c r="D736" s="11"/>
      <c r="E736" s="11"/>
      <c r="F736" s="11"/>
      <c r="G736" s="11"/>
    </row>
    <row r="737">
      <c r="A737" s="11"/>
      <c r="B737" s="11"/>
      <c r="C737" s="11"/>
      <c r="D737" s="11"/>
      <c r="E737" s="11"/>
      <c r="F737" s="11"/>
      <c r="G737" s="11"/>
    </row>
    <row r="738">
      <c r="A738" s="11"/>
      <c r="B738" s="11"/>
      <c r="C738" s="11"/>
      <c r="D738" s="11"/>
      <c r="E738" s="11"/>
      <c r="F738" s="11"/>
      <c r="G738" s="11"/>
    </row>
    <row r="739">
      <c r="A739" s="11"/>
      <c r="B739" s="11"/>
      <c r="C739" s="11"/>
      <c r="D739" s="11"/>
      <c r="E739" s="11"/>
      <c r="F739" s="11"/>
      <c r="G739" s="11"/>
    </row>
    <row r="740">
      <c r="A740" s="11"/>
      <c r="B740" s="11"/>
      <c r="C740" s="11"/>
      <c r="D740" s="11"/>
      <c r="E740" s="11"/>
      <c r="F740" s="11"/>
      <c r="G740" s="11"/>
    </row>
    <row r="741">
      <c r="A741" s="11"/>
      <c r="B741" s="11"/>
      <c r="C741" s="11"/>
      <c r="D741" s="11"/>
      <c r="E741" s="11"/>
      <c r="F741" s="11"/>
      <c r="G741" s="11"/>
    </row>
    <row r="742">
      <c r="A742" s="11"/>
      <c r="B742" s="11"/>
      <c r="C742" s="11"/>
      <c r="D742" s="11"/>
      <c r="E742" s="11"/>
      <c r="F742" s="11"/>
      <c r="G742" s="11"/>
    </row>
    <row r="743">
      <c r="A743" s="11"/>
      <c r="B743" s="11"/>
      <c r="C743" s="11"/>
      <c r="D743" s="11"/>
      <c r="E743" s="11"/>
      <c r="F743" s="11"/>
      <c r="G743" s="11"/>
    </row>
    <row r="744">
      <c r="A744" s="11"/>
      <c r="B744" s="11"/>
      <c r="C744" s="11"/>
      <c r="D744" s="11"/>
      <c r="E744" s="11"/>
      <c r="F744" s="11"/>
      <c r="G744" s="11"/>
    </row>
    <row r="745">
      <c r="A745" s="11"/>
      <c r="B745" s="11"/>
      <c r="C745" s="11"/>
      <c r="D745" s="11"/>
      <c r="E745" s="11"/>
      <c r="F745" s="11"/>
      <c r="G745" s="11"/>
    </row>
    <row r="746">
      <c r="A746" s="11"/>
      <c r="B746" s="11"/>
      <c r="C746" s="11"/>
      <c r="D746" s="11"/>
      <c r="E746" s="11"/>
      <c r="F746" s="11"/>
      <c r="G746" s="11"/>
    </row>
    <row r="747">
      <c r="A747" s="11"/>
      <c r="B747" s="11"/>
      <c r="C747" s="11"/>
      <c r="D747" s="11"/>
      <c r="E747" s="11"/>
      <c r="F747" s="11"/>
      <c r="G747" s="11"/>
    </row>
    <row r="748">
      <c r="A748" s="11"/>
      <c r="B748" s="11"/>
      <c r="C748" s="11"/>
      <c r="D748" s="11"/>
      <c r="E748" s="11"/>
      <c r="F748" s="11"/>
      <c r="G748" s="11"/>
    </row>
    <row r="749">
      <c r="A749" s="11"/>
      <c r="B749" s="11"/>
      <c r="C749" s="11"/>
      <c r="D749" s="11"/>
      <c r="E749" s="11"/>
      <c r="F749" s="11"/>
      <c r="G749" s="11"/>
    </row>
    <row r="750">
      <c r="A750" s="11"/>
      <c r="B750" s="11"/>
      <c r="C750" s="11"/>
      <c r="D750" s="11"/>
      <c r="E750" s="11"/>
      <c r="F750" s="11"/>
      <c r="G750" s="11"/>
    </row>
    <row r="751">
      <c r="A751" s="11"/>
      <c r="B751" s="11"/>
      <c r="C751" s="11"/>
      <c r="D751" s="11"/>
      <c r="E751" s="11"/>
      <c r="F751" s="11"/>
      <c r="G751" s="11"/>
    </row>
    <row r="752">
      <c r="A752" s="11"/>
      <c r="B752" s="11"/>
      <c r="C752" s="11"/>
      <c r="D752" s="11"/>
      <c r="E752" s="11"/>
      <c r="F752" s="11"/>
      <c r="G752" s="11"/>
    </row>
    <row r="753">
      <c r="A753" s="11"/>
      <c r="B753" s="11"/>
      <c r="C753" s="11"/>
      <c r="D753" s="11"/>
      <c r="E753" s="11"/>
      <c r="F753" s="11"/>
      <c r="G753" s="11"/>
    </row>
    <row r="754">
      <c r="A754" s="11"/>
      <c r="B754" s="11"/>
      <c r="C754" s="11"/>
      <c r="D754" s="11"/>
      <c r="E754" s="11"/>
      <c r="F754" s="11"/>
      <c r="G754" s="11"/>
    </row>
    <row r="755">
      <c r="A755" s="11"/>
      <c r="B755" s="11"/>
      <c r="C755" s="11"/>
      <c r="D755" s="11"/>
      <c r="E755" s="11"/>
      <c r="F755" s="11"/>
      <c r="G755" s="11"/>
    </row>
    <row r="756">
      <c r="A756" s="11"/>
      <c r="B756" s="11"/>
      <c r="C756" s="11"/>
      <c r="D756" s="11"/>
      <c r="E756" s="11"/>
      <c r="F756" s="11"/>
      <c r="G756" s="11"/>
    </row>
    <row r="757">
      <c r="A757" s="11"/>
      <c r="B757" s="11"/>
      <c r="C757" s="11"/>
      <c r="D757" s="11"/>
      <c r="E757" s="11"/>
      <c r="F757" s="11"/>
      <c r="G757" s="11"/>
    </row>
    <row r="758">
      <c r="A758" s="11"/>
      <c r="B758" s="11"/>
      <c r="C758" s="11"/>
      <c r="D758" s="11"/>
      <c r="E758" s="11"/>
      <c r="F758" s="11"/>
      <c r="G758" s="11"/>
    </row>
    <row r="759">
      <c r="A759" s="11"/>
      <c r="B759" s="11"/>
      <c r="C759" s="11"/>
      <c r="D759" s="11"/>
      <c r="E759" s="11"/>
      <c r="F759" s="11"/>
      <c r="G759" s="11"/>
    </row>
    <row r="760">
      <c r="A760" s="11"/>
      <c r="B760" s="11"/>
      <c r="C760" s="11"/>
      <c r="D760" s="11"/>
      <c r="E760" s="11"/>
      <c r="F760" s="11"/>
      <c r="G760" s="11"/>
    </row>
    <row r="761">
      <c r="A761" s="11"/>
      <c r="B761" s="11"/>
      <c r="C761" s="11"/>
      <c r="D761" s="11"/>
      <c r="E761" s="11"/>
      <c r="F761" s="11"/>
      <c r="G761" s="11"/>
    </row>
    <row r="762">
      <c r="A762" s="11"/>
      <c r="B762" s="11"/>
      <c r="C762" s="11"/>
      <c r="D762" s="11"/>
      <c r="E762" s="11"/>
      <c r="F762" s="11"/>
      <c r="G762" s="11"/>
    </row>
    <row r="763">
      <c r="A763" s="11"/>
      <c r="B763" s="11"/>
      <c r="C763" s="11"/>
      <c r="D763" s="11"/>
      <c r="E763" s="11"/>
      <c r="F763" s="11"/>
      <c r="G763" s="11"/>
    </row>
    <row r="764">
      <c r="A764" s="11"/>
      <c r="B764" s="11"/>
      <c r="C764" s="11"/>
      <c r="D764" s="11"/>
      <c r="E764" s="11"/>
      <c r="F764" s="11"/>
      <c r="G764" s="11"/>
    </row>
    <row r="765">
      <c r="A765" s="11"/>
      <c r="B765" s="11"/>
      <c r="C765" s="11"/>
      <c r="D765" s="11"/>
      <c r="E765" s="11"/>
      <c r="F765" s="11"/>
      <c r="G765" s="11"/>
    </row>
    <row r="766">
      <c r="A766" s="11"/>
      <c r="B766" s="11"/>
      <c r="C766" s="11"/>
      <c r="D766" s="11"/>
      <c r="E766" s="11"/>
      <c r="F766" s="11"/>
      <c r="G766" s="11"/>
    </row>
    <row r="767">
      <c r="A767" s="11"/>
      <c r="B767" s="11"/>
      <c r="C767" s="11"/>
      <c r="D767" s="11"/>
      <c r="E767" s="11"/>
      <c r="F767" s="11"/>
      <c r="G767" s="11"/>
    </row>
    <row r="768">
      <c r="A768" s="11"/>
      <c r="B768" s="11"/>
      <c r="C768" s="11"/>
      <c r="D768" s="11"/>
      <c r="E768" s="11"/>
      <c r="F768" s="11"/>
      <c r="G768" s="11"/>
    </row>
    <row r="769">
      <c r="A769" s="11"/>
      <c r="B769" s="11"/>
      <c r="C769" s="11"/>
      <c r="D769" s="11"/>
      <c r="E769" s="11"/>
      <c r="F769" s="11"/>
      <c r="G769" s="11"/>
    </row>
    <row r="770">
      <c r="A770" s="11"/>
      <c r="B770" s="11"/>
      <c r="C770" s="11"/>
      <c r="D770" s="11"/>
      <c r="E770" s="11"/>
      <c r="F770" s="11"/>
      <c r="G770" s="11"/>
    </row>
    <row r="771">
      <c r="A771" s="11"/>
      <c r="B771" s="11"/>
      <c r="C771" s="11"/>
      <c r="D771" s="11"/>
      <c r="E771" s="11"/>
      <c r="F771" s="11"/>
      <c r="G771" s="11"/>
    </row>
    <row r="772">
      <c r="A772" s="11"/>
      <c r="B772" s="11"/>
      <c r="C772" s="11"/>
      <c r="D772" s="11"/>
      <c r="E772" s="11"/>
      <c r="F772" s="11"/>
      <c r="G772" s="11"/>
    </row>
    <row r="773">
      <c r="A773" s="11"/>
      <c r="B773" s="11"/>
      <c r="C773" s="11"/>
      <c r="D773" s="11"/>
      <c r="E773" s="11"/>
      <c r="F773" s="11"/>
      <c r="G773" s="11"/>
    </row>
    <row r="774">
      <c r="A774" s="11"/>
      <c r="B774" s="11"/>
      <c r="C774" s="11"/>
      <c r="D774" s="11"/>
      <c r="E774" s="11"/>
      <c r="F774" s="11"/>
      <c r="G774" s="11"/>
    </row>
    <row r="775">
      <c r="A775" s="11"/>
      <c r="B775" s="11"/>
      <c r="C775" s="11"/>
      <c r="D775" s="11"/>
      <c r="E775" s="11"/>
      <c r="F775" s="11"/>
      <c r="G775" s="11"/>
    </row>
    <row r="776">
      <c r="A776" s="11"/>
      <c r="B776" s="11"/>
      <c r="C776" s="11"/>
      <c r="D776" s="11"/>
      <c r="E776" s="11"/>
      <c r="F776" s="11"/>
      <c r="G776" s="11"/>
    </row>
    <row r="777">
      <c r="A777" s="11"/>
      <c r="B777" s="11"/>
      <c r="C777" s="11"/>
      <c r="D777" s="11"/>
      <c r="E777" s="11"/>
      <c r="F777" s="11"/>
      <c r="G777" s="11"/>
    </row>
    <row r="778">
      <c r="A778" s="11"/>
      <c r="B778" s="11"/>
      <c r="C778" s="11"/>
      <c r="D778" s="11"/>
      <c r="E778" s="11"/>
      <c r="F778" s="11"/>
      <c r="G778" s="11"/>
    </row>
    <row r="779">
      <c r="A779" s="11"/>
      <c r="B779" s="11"/>
      <c r="C779" s="11"/>
      <c r="D779" s="11"/>
      <c r="E779" s="11"/>
      <c r="F779" s="11"/>
      <c r="G779" s="11"/>
    </row>
    <row r="780">
      <c r="A780" s="11"/>
      <c r="B780" s="11"/>
      <c r="C780" s="11"/>
      <c r="D780" s="11"/>
      <c r="E780" s="11"/>
      <c r="F780" s="11"/>
      <c r="G780" s="11"/>
    </row>
    <row r="781">
      <c r="A781" s="11"/>
      <c r="B781" s="11"/>
      <c r="C781" s="11"/>
      <c r="D781" s="11"/>
      <c r="E781" s="11"/>
      <c r="F781" s="11"/>
      <c r="G781" s="11"/>
    </row>
    <row r="782">
      <c r="A782" s="11"/>
      <c r="B782" s="11"/>
      <c r="C782" s="11"/>
      <c r="D782" s="11"/>
      <c r="E782" s="11"/>
      <c r="F782" s="11"/>
      <c r="G782" s="11"/>
    </row>
    <row r="783">
      <c r="A783" s="11"/>
      <c r="B783" s="11"/>
      <c r="C783" s="11"/>
      <c r="D783" s="11"/>
      <c r="E783" s="11"/>
      <c r="F783" s="11"/>
      <c r="G783" s="11"/>
    </row>
    <row r="784">
      <c r="A784" s="11"/>
      <c r="B784" s="11"/>
      <c r="C784" s="11"/>
      <c r="D784" s="11"/>
      <c r="E784" s="11"/>
      <c r="F784" s="11"/>
      <c r="G784" s="11"/>
    </row>
    <row r="785">
      <c r="A785" s="11"/>
      <c r="B785" s="11"/>
      <c r="C785" s="11"/>
      <c r="D785" s="11"/>
      <c r="E785" s="11"/>
      <c r="F785" s="11"/>
      <c r="G785" s="11"/>
    </row>
    <row r="786">
      <c r="A786" s="11"/>
      <c r="B786" s="11"/>
      <c r="C786" s="11"/>
      <c r="D786" s="11"/>
      <c r="E786" s="11"/>
      <c r="F786" s="11"/>
      <c r="G786" s="11"/>
    </row>
    <row r="787">
      <c r="A787" s="11"/>
      <c r="B787" s="11"/>
      <c r="C787" s="11"/>
      <c r="D787" s="11"/>
      <c r="E787" s="11"/>
      <c r="F787" s="11"/>
      <c r="G787" s="11"/>
    </row>
    <row r="788">
      <c r="A788" s="11"/>
      <c r="B788" s="11"/>
      <c r="C788" s="11"/>
      <c r="D788" s="11"/>
      <c r="E788" s="11"/>
      <c r="F788" s="11"/>
      <c r="G788" s="11"/>
    </row>
    <row r="789">
      <c r="A789" s="11"/>
      <c r="B789" s="11"/>
      <c r="C789" s="11"/>
      <c r="D789" s="11"/>
      <c r="E789" s="11"/>
      <c r="F789" s="11"/>
      <c r="G789" s="11"/>
    </row>
    <row r="790">
      <c r="A790" s="11"/>
      <c r="B790" s="11"/>
      <c r="C790" s="11"/>
      <c r="D790" s="11"/>
      <c r="E790" s="11"/>
      <c r="F790" s="11"/>
      <c r="G790" s="11"/>
    </row>
    <row r="791">
      <c r="A791" s="11"/>
      <c r="B791" s="11"/>
      <c r="C791" s="11"/>
      <c r="D791" s="11"/>
      <c r="E791" s="11"/>
      <c r="F791" s="11"/>
      <c r="G791" s="11"/>
    </row>
    <row r="792">
      <c r="A792" s="11"/>
      <c r="B792" s="11"/>
      <c r="C792" s="11"/>
      <c r="D792" s="11"/>
      <c r="E792" s="11"/>
      <c r="F792" s="11"/>
      <c r="G792" s="11"/>
    </row>
    <row r="793">
      <c r="A793" s="11"/>
      <c r="B793" s="11"/>
      <c r="C793" s="11"/>
      <c r="D793" s="11"/>
      <c r="E793" s="11"/>
      <c r="F793" s="11"/>
      <c r="G793" s="11"/>
    </row>
    <row r="794">
      <c r="A794" s="11"/>
      <c r="B794" s="11"/>
      <c r="C794" s="11"/>
      <c r="D794" s="11"/>
      <c r="E794" s="11"/>
      <c r="F794" s="11"/>
      <c r="G794" s="11"/>
    </row>
    <row r="795">
      <c r="A795" s="11"/>
      <c r="B795" s="11"/>
      <c r="C795" s="11"/>
      <c r="D795" s="11"/>
      <c r="E795" s="11"/>
      <c r="F795" s="11"/>
      <c r="G795" s="11"/>
    </row>
    <row r="796">
      <c r="A796" s="11"/>
      <c r="B796" s="11"/>
      <c r="C796" s="11"/>
      <c r="D796" s="11"/>
      <c r="E796" s="11"/>
      <c r="F796" s="11"/>
      <c r="G796" s="11"/>
    </row>
    <row r="797">
      <c r="A797" s="11"/>
      <c r="B797" s="11"/>
      <c r="C797" s="11"/>
      <c r="D797" s="11"/>
      <c r="E797" s="11"/>
      <c r="F797" s="11"/>
      <c r="G797" s="11"/>
    </row>
    <row r="798">
      <c r="A798" s="11"/>
      <c r="B798" s="11"/>
      <c r="C798" s="11"/>
      <c r="D798" s="11"/>
      <c r="E798" s="11"/>
      <c r="F798" s="11"/>
      <c r="G798" s="11"/>
    </row>
    <row r="799">
      <c r="A799" s="11"/>
      <c r="B799" s="11"/>
      <c r="C799" s="11"/>
      <c r="D799" s="11"/>
      <c r="E799" s="11"/>
      <c r="F799" s="11"/>
      <c r="G799" s="11"/>
    </row>
    <row r="800">
      <c r="A800" s="11"/>
      <c r="B800" s="11"/>
      <c r="C800" s="11"/>
      <c r="D800" s="11"/>
      <c r="E800" s="11"/>
      <c r="F800" s="11"/>
      <c r="G800" s="11"/>
    </row>
    <row r="801">
      <c r="A801" s="11"/>
      <c r="B801" s="11"/>
      <c r="C801" s="11"/>
      <c r="D801" s="11"/>
      <c r="E801" s="11"/>
      <c r="F801" s="11"/>
      <c r="G801" s="11"/>
    </row>
    <row r="802">
      <c r="A802" s="11"/>
      <c r="B802" s="11"/>
      <c r="C802" s="11"/>
      <c r="D802" s="11"/>
      <c r="E802" s="11"/>
      <c r="F802" s="11"/>
      <c r="G802" s="11"/>
    </row>
    <row r="803">
      <c r="A803" s="11"/>
      <c r="B803" s="11"/>
      <c r="C803" s="11"/>
      <c r="D803" s="11"/>
      <c r="E803" s="11"/>
      <c r="F803" s="11"/>
      <c r="G803" s="11"/>
    </row>
    <row r="804">
      <c r="A804" s="11"/>
      <c r="B804" s="11"/>
      <c r="C804" s="11"/>
      <c r="D804" s="11"/>
      <c r="E804" s="11"/>
      <c r="F804" s="11"/>
      <c r="G804" s="11"/>
    </row>
    <row r="805">
      <c r="A805" s="11"/>
      <c r="B805" s="11"/>
      <c r="C805" s="11"/>
      <c r="D805" s="11"/>
      <c r="E805" s="11"/>
      <c r="F805" s="11"/>
      <c r="G805" s="11"/>
    </row>
    <row r="806">
      <c r="A806" s="11"/>
      <c r="B806" s="11"/>
      <c r="C806" s="11"/>
      <c r="D806" s="11"/>
      <c r="E806" s="11"/>
      <c r="F806" s="11"/>
      <c r="G806" s="11"/>
    </row>
    <row r="807">
      <c r="A807" s="11"/>
      <c r="B807" s="11"/>
      <c r="C807" s="11"/>
      <c r="D807" s="11"/>
      <c r="E807" s="11"/>
      <c r="F807" s="11"/>
      <c r="G807" s="11"/>
    </row>
    <row r="808">
      <c r="A808" s="11"/>
      <c r="B808" s="11"/>
      <c r="C808" s="11"/>
      <c r="D808" s="11"/>
      <c r="E808" s="11"/>
      <c r="F808" s="11"/>
      <c r="G808" s="11"/>
    </row>
    <row r="809">
      <c r="A809" s="11"/>
      <c r="B809" s="11"/>
      <c r="C809" s="11"/>
      <c r="D809" s="11"/>
      <c r="E809" s="11"/>
      <c r="F809" s="11"/>
      <c r="G809" s="11"/>
    </row>
    <row r="810">
      <c r="A810" s="11"/>
      <c r="B810" s="11"/>
      <c r="C810" s="11"/>
      <c r="D810" s="11"/>
      <c r="E810" s="11"/>
      <c r="F810" s="11"/>
      <c r="G810" s="11"/>
    </row>
    <row r="811">
      <c r="A811" s="11"/>
      <c r="B811" s="11"/>
      <c r="C811" s="11"/>
      <c r="D811" s="11"/>
      <c r="E811" s="11"/>
      <c r="F811" s="11"/>
      <c r="G811" s="11"/>
    </row>
    <row r="812">
      <c r="A812" s="11"/>
      <c r="B812" s="11"/>
      <c r="C812" s="11"/>
      <c r="D812" s="11"/>
      <c r="E812" s="11"/>
      <c r="F812" s="11"/>
      <c r="G812" s="11"/>
    </row>
    <row r="813">
      <c r="A813" s="11"/>
      <c r="B813" s="11"/>
      <c r="C813" s="11"/>
      <c r="D813" s="11"/>
      <c r="E813" s="11"/>
      <c r="F813" s="11"/>
      <c r="G813" s="11"/>
    </row>
    <row r="814">
      <c r="A814" s="11"/>
      <c r="B814" s="11"/>
      <c r="C814" s="11"/>
      <c r="D814" s="11"/>
      <c r="E814" s="11"/>
      <c r="F814" s="11"/>
      <c r="G814" s="11"/>
    </row>
    <row r="815">
      <c r="A815" s="11"/>
      <c r="B815" s="11"/>
      <c r="C815" s="11"/>
      <c r="D815" s="11"/>
      <c r="E815" s="11"/>
      <c r="F815" s="11"/>
      <c r="G815" s="11"/>
    </row>
    <row r="816">
      <c r="A816" s="11"/>
      <c r="B816" s="11"/>
      <c r="C816" s="11"/>
      <c r="D816" s="11"/>
      <c r="E816" s="11"/>
      <c r="F816" s="11"/>
      <c r="G816" s="11"/>
    </row>
    <row r="817">
      <c r="A817" s="11"/>
      <c r="B817" s="11"/>
      <c r="C817" s="11"/>
      <c r="D817" s="11"/>
      <c r="E817" s="11"/>
      <c r="F817" s="11"/>
      <c r="G817" s="11"/>
    </row>
    <row r="818">
      <c r="A818" s="11"/>
      <c r="B818" s="11"/>
      <c r="C818" s="11"/>
      <c r="D818" s="11"/>
      <c r="E818" s="11"/>
      <c r="F818" s="11"/>
      <c r="G818" s="11"/>
    </row>
    <row r="819">
      <c r="A819" s="11"/>
      <c r="B819" s="11"/>
      <c r="C819" s="11"/>
      <c r="D819" s="11"/>
      <c r="E819" s="11"/>
      <c r="F819" s="11"/>
      <c r="G819" s="11"/>
    </row>
    <row r="820">
      <c r="A820" s="11"/>
      <c r="B820" s="11"/>
      <c r="C820" s="11"/>
      <c r="D820" s="11"/>
      <c r="E820" s="11"/>
      <c r="F820" s="11"/>
      <c r="G820" s="11"/>
    </row>
    <row r="821">
      <c r="A821" s="11"/>
      <c r="B821" s="11"/>
      <c r="C821" s="11"/>
      <c r="D821" s="11"/>
      <c r="E821" s="11"/>
      <c r="F821" s="11"/>
      <c r="G821" s="11"/>
    </row>
    <row r="822">
      <c r="A822" s="11"/>
      <c r="B822" s="11"/>
      <c r="C822" s="11"/>
      <c r="D822" s="11"/>
      <c r="E822" s="11"/>
      <c r="F822" s="11"/>
      <c r="G822" s="11"/>
    </row>
    <row r="823">
      <c r="A823" s="11"/>
      <c r="B823" s="11"/>
      <c r="C823" s="11"/>
      <c r="D823" s="11"/>
      <c r="E823" s="11"/>
      <c r="F823" s="11"/>
      <c r="G823" s="11"/>
    </row>
    <row r="824">
      <c r="A824" s="11"/>
      <c r="B824" s="11"/>
      <c r="C824" s="11"/>
      <c r="D824" s="11"/>
      <c r="E824" s="11"/>
      <c r="F824" s="11"/>
      <c r="G824" s="11"/>
    </row>
    <row r="825">
      <c r="A825" s="11"/>
      <c r="B825" s="11"/>
      <c r="C825" s="11"/>
      <c r="D825" s="11"/>
      <c r="E825" s="11"/>
      <c r="F825" s="11"/>
      <c r="G825" s="11"/>
    </row>
    <row r="826">
      <c r="A826" s="11"/>
      <c r="B826" s="11"/>
      <c r="C826" s="11"/>
      <c r="D826" s="11"/>
      <c r="E826" s="11"/>
      <c r="F826" s="11"/>
      <c r="G826" s="11"/>
    </row>
    <row r="827">
      <c r="A827" s="11"/>
      <c r="B827" s="11"/>
      <c r="C827" s="11"/>
      <c r="D827" s="11"/>
      <c r="E827" s="11"/>
      <c r="F827" s="11"/>
      <c r="G827" s="11"/>
    </row>
    <row r="828">
      <c r="A828" s="11"/>
      <c r="B828" s="11"/>
      <c r="C828" s="11"/>
      <c r="D828" s="11"/>
      <c r="E828" s="11"/>
      <c r="F828" s="11"/>
      <c r="G828" s="11"/>
    </row>
    <row r="829">
      <c r="A829" s="11"/>
      <c r="B829" s="11"/>
      <c r="C829" s="11"/>
      <c r="D829" s="11"/>
      <c r="E829" s="11"/>
      <c r="F829" s="11"/>
      <c r="G829" s="11"/>
    </row>
    <row r="830">
      <c r="A830" s="11"/>
      <c r="B830" s="11"/>
      <c r="C830" s="11"/>
      <c r="D830" s="11"/>
      <c r="E830" s="11"/>
      <c r="F830" s="11"/>
      <c r="G830" s="11"/>
    </row>
    <row r="831">
      <c r="A831" s="11"/>
      <c r="B831" s="11"/>
      <c r="C831" s="11"/>
      <c r="D831" s="11"/>
      <c r="E831" s="11"/>
      <c r="F831" s="11"/>
      <c r="G831" s="11"/>
    </row>
    <row r="832">
      <c r="A832" s="11"/>
      <c r="B832" s="11"/>
      <c r="C832" s="11"/>
      <c r="D832" s="11"/>
      <c r="E832" s="11"/>
      <c r="F832" s="11"/>
      <c r="G832" s="11"/>
    </row>
    <row r="833">
      <c r="A833" s="11"/>
      <c r="B833" s="11"/>
      <c r="C833" s="11"/>
      <c r="D833" s="11"/>
      <c r="E833" s="11"/>
      <c r="F833" s="11"/>
      <c r="G833" s="11"/>
    </row>
    <row r="834">
      <c r="A834" s="11"/>
      <c r="B834" s="11"/>
      <c r="C834" s="11"/>
      <c r="D834" s="11"/>
      <c r="E834" s="11"/>
      <c r="F834" s="11"/>
      <c r="G834" s="11"/>
    </row>
    <row r="835">
      <c r="A835" s="11"/>
      <c r="B835" s="11"/>
      <c r="C835" s="11"/>
      <c r="D835" s="11"/>
      <c r="E835" s="11"/>
      <c r="F835" s="11"/>
      <c r="G835" s="11"/>
    </row>
    <row r="836">
      <c r="A836" s="11"/>
      <c r="B836" s="11"/>
      <c r="C836" s="11"/>
      <c r="D836" s="11"/>
      <c r="E836" s="11"/>
      <c r="F836" s="11"/>
      <c r="G836" s="11"/>
    </row>
    <row r="837">
      <c r="A837" s="11"/>
      <c r="B837" s="11"/>
      <c r="C837" s="11"/>
      <c r="D837" s="11"/>
      <c r="E837" s="11"/>
      <c r="F837" s="11"/>
      <c r="G837" s="11"/>
    </row>
    <row r="838">
      <c r="A838" s="11"/>
      <c r="B838" s="11"/>
      <c r="C838" s="11"/>
      <c r="D838" s="11"/>
      <c r="E838" s="11"/>
      <c r="F838" s="11"/>
      <c r="G838" s="11"/>
    </row>
    <row r="839">
      <c r="A839" s="11"/>
      <c r="B839" s="11"/>
      <c r="C839" s="11"/>
      <c r="D839" s="11"/>
      <c r="E839" s="11"/>
      <c r="F839" s="11"/>
      <c r="G839" s="11"/>
    </row>
    <row r="840">
      <c r="A840" s="11"/>
      <c r="B840" s="11"/>
      <c r="C840" s="11"/>
      <c r="D840" s="11"/>
      <c r="E840" s="11"/>
      <c r="F840" s="11"/>
      <c r="G840" s="11"/>
    </row>
    <row r="841">
      <c r="A841" s="11"/>
      <c r="B841" s="11"/>
      <c r="C841" s="11"/>
      <c r="D841" s="11"/>
      <c r="E841" s="11"/>
      <c r="F841" s="11"/>
      <c r="G841" s="11"/>
    </row>
    <row r="842">
      <c r="A842" s="11"/>
      <c r="B842" s="11"/>
      <c r="C842" s="11"/>
      <c r="D842" s="11"/>
      <c r="E842" s="11"/>
      <c r="F842" s="11"/>
      <c r="G842" s="11"/>
    </row>
    <row r="843">
      <c r="A843" s="11"/>
      <c r="B843" s="11"/>
      <c r="C843" s="11"/>
      <c r="D843" s="11"/>
      <c r="E843" s="11"/>
      <c r="F843" s="11"/>
      <c r="G843" s="11"/>
    </row>
    <row r="844">
      <c r="A844" s="11"/>
      <c r="B844" s="11"/>
      <c r="C844" s="11"/>
      <c r="D844" s="11"/>
      <c r="E844" s="11"/>
      <c r="F844" s="11"/>
      <c r="G844" s="11"/>
    </row>
    <row r="845">
      <c r="A845" s="11"/>
      <c r="B845" s="11"/>
      <c r="C845" s="11"/>
      <c r="D845" s="11"/>
      <c r="E845" s="11"/>
      <c r="F845" s="11"/>
      <c r="G845" s="11"/>
    </row>
    <row r="846">
      <c r="A846" s="11"/>
      <c r="B846" s="11"/>
      <c r="C846" s="11"/>
      <c r="D846" s="11"/>
      <c r="E846" s="11"/>
      <c r="F846" s="11"/>
      <c r="G846" s="11"/>
    </row>
    <row r="847">
      <c r="A847" s="11"/>
      <c r="B847" s="11"/>
      <c r="C847" s="11"/>
      <c r="D847" s="11"/>
      <c r="E847" s="11"/>
      <c r="F847" s="11"/>
      <c r="G847" s="11"/>
    </row>
    <row r="848">
      <c r="A848" s="11"/>
      <c r="B848" s="11"/>
      <c r="C848" s="11"/>
      <c r="D848" s="11"/>
      <c r="E848" s="11"/>
      <c r="F848" s="11"/>
      <c r="G848" s="11"/>
    </row>
    <row r="849">
      <c r="A849" s="11"/>
      <c r="B849" s="11"/>
      <c r="C849" s="11"/>
      <c r="D849" s="11"/>
      <c r="E849" s="11"/>
      <c r="F849" s="11"/>
      <c r="G849" s="11"/>
    </row>
    <row r="850">
      <c r="A850" s="11"/>
      <c r="B850" s="11"/>
      <c r="C850" s="11"/>
      <c r="D850" s="11"/>
      <c r="E850" s="11"/>
      <c r="F850" s="11"/>
      <c r="G850" s="11"/>
    </row>
    <row r="851">
      <c r="A851" s="11"/>
      <c r="B851" s="11"/>
      <c r="C851" s="11"/>
      <c r="D851" s="11"/>
      <c r="E851" s="11"/>
      <c r="F851" s="11"/>
      <c r="G851" s="11"/>
    </row>
    <row r="852">
      <c r="A852" s="11"/>
      <c r="B852" s="11"/>
      <c r="C852" s="11"/>
      <c r="D852" s="11"/>
      <c r="E852" s="11"/>
      <c r="F852" s="11"/>
      <c r="G852" s="11"/>
    </row>
    <row r="853">
      <c r="A853" s="11"/>
      <c r="B853" s="11"/>
      <c r="C853" s="11"/>
      <c r="D853" s="11"/>
      <c r="E853" s="11"/>
      <c r="F853" s="11"/>
      <c r="G853" s="11"/>
    </row>
    <row r="854">
      <c r="A854" s="11"/>
      <c r="B854" s="11"/>
      <c r="C854" s="11"/>
      <c r="D854" s="11"/>
      <c r="E854" s="11"/>
      <c r="F854" s="11"/>
      <c r="G854" s="11"/>
    </row>
    <row r="855">
      <c r="A855" s="11"/>
      <c r="B855" s="11"/>
      <c r="C855" s="11"/>
      <c r="D855" s="11"/>
      <c r="E855" s="11"/>
      <c r="F855" s="11"/>
      <c r="G855" s="11"/>
    </row>
    <row r="856">
      <c r="A856" s="11"/>
      <c r="B856" s="11"/>
      <c r="C856" s="11"/>
      <c r="D856" s="11"/>
      <c r="E856" s="11"/>
      <c r="F856" s="11"/>
      <c r="G856" s="11"/>
    </row>
    <row r="857">
      <c r="A857" s="11"/>
      <c r="B857" s="11"/>
      <c r="C857" s="11"/>
      <c r="D857" s="11"/>
      <c r="E857" s="11"/>
      <c r="F857" s="11"/>
      <c r="G857" s="11"/>
    </row>
    <row r="858">
      <c r="A858" s="11"/>
      <c r="B858" s="11"/>
      <c r="C858" s="11"/>
      <c r="D858" s="11"/>
      <c r="E858" s="11"/>
      <c r="F858" s="11"/>
      <c r="G858" s="11"/>
    </row>
    <row r="859">
      <c r="A859" s="11"/>
      <c r="B859" s="11"/>
      <c r="C859" s="11"/>
      <c r="D859" s="11"/>
      <c r="E859" s="11"/>
      <c r="F859" s="11"/>
      <c r="G859" s="11"/>
    </row>
    <row r="860">
      <c r="A860" s="11"/>
      <c r="B860" s="11"/>
      <c r="C860" s="11"/>
      <c r="D860" s="11"/>
      <c r="E860" s="11"/>
      <c r="F860" s="11"/>
      <c r="G860" s="11"/>
    </row>
    <row r="861">
      <c r="A861" s="11"/>
      <c r="B861" s="11"/>
      <c r="C861" s="11"/>
      <c r="D861" s="11"/>
      <c r="E861" s="11"/>
      <c r="F861" s="11"/>
      <c r="G861" s="11"/>
    </row>
    <row r="862">
      <c r="A862" s="11"/>
      <c r="B862" s="11"/>
      <c r="C862" s="11"/>
      <c r="D862" s="11"/>
      <c r="E862" s="11"/>
      <c r="F862" s="11"/>
      <c r="G862" s="11"/>
    </row>
    <row r="863">
      <c r="A863" s="11"/>
      <c r="B863" s="11"/>
      <c r="C863" s="11"/>
      <c r="D863" s="11"/>
      <c r="E863" s="11"/>
      <c r="F863" s="11"/>
      <c r="G863" s="11"/>
    </row>
    <row r="864">
      <c r="A864" s="11"/>
      <c r="B864" s="11"/>
      <c r="C864" s="11"/>
      <c r="D864" s="11"/>
      <c r="E864" s="11"/>
      <c r="F864" s="11"/>
      <c r="G864" s="11"/>
    </row>
    <row r="865">
      <c r="A865" s="11"/>
      <c r="B865" s="11"/>
      <c r="C865" s="11"/>
      <c r="D865" s="11"/>
      <c r="E865" s="11"/>
      <c r="F865" s="11"/>
      <c r="G865" s="11"/>
    </row>
    <row r="866">
      <c r="A866" s="11"/>
      <c r="B866" s="11"/>
      <c r="C866" s="11"/>
      <c r="D866" s="11"/>
      <c r="E866" s="11"/>
      <c r="F866" s="11"/>
      <c r="G866" s="11"/>
    </row>
    <row r="867">
      <c r="A867" s="11"/>
      <c r="B867" s="11"/>
      <c r="C867" s="11"/>
      <c r="D867" s="11"/>
      <c r="E867" s="11"/>
      <c r="F867" s="11"/>
      <c r="G867" s="11"/>
    </row>
    <row r="868">
      <c r="A868" s="11"/>
      <c r="B868" s="11"/>
      <c r="C868" s="11"/>
      <c r="D868" s="11"/>
      <c r="E868" s="11"/>
      <c r="F868" s="11"/>
      <c r="G868" s="11"/>
    </row>
    <row r="869">
      <c r="A869" s="11"/>
      <c r="B869" s="11"/>
      <c r="C869" s="11"/>
      <c r="D869" s="11"/>
      <c r="E869" s="11"/>
      <c r="F869" s="11"/>
      <c r="G869" s="11"/>
    </row>
    <row r="870">
      <c r="A870" s="11"/>
      <c r="B870" s="11"/>
      <c r="C870" s="11"/>
      <c r="D870" s="11"/>
      <c r="E870" s="11"/>
      <c r="F870" s="11"/>
      <c r="G870" s="11"/>
    </row>
    <row r="871">
      <c r="A871" s="11"/>
      <c r="B871" s="11"/>
      <c r="C871" s="11"/>
      <c r="D871" s="11"/>
      <c r="E871" s="11"/>
      <c r="F871" s="11"/>
      <c r="G871" s="11"/>
    </row>
    <row r="872">
      <c r="A872" s="11"/>
      <c r="B872" s="11"/>
      <c r="C872" s="11"/>
      <c r="D872" s="11"/>
      <c r="E872" s="11"/>
      <c r="F872" s="11"/>
      <c r="G872" s="11"/>
    </row>
    <row r="873">
      <c r="A873" s="11"/>
      <c r="B873" s="11"/>
      <c r="C873" s="11"/>
      <c r="D873" s="11"/>
      <c r="E873" s="11"/>
      <c r="F873" s="11"/>
      <c r="G873" s="11"/>
    </row>
    <row r="874">
      <c r="A874" s="11"/>
      <c r="B874" s="11"/>
      <c r="C874" s="11"/>
      <c r="D874" s="11"/>
      <c r="E874" s="11"/>
      <c r="F874" s="11"/>
      <c r="G874" s="11"/>
    </row>
    <row r="875">
      <c r="A875" s="11"/>
      <c r="B875" s="11"/>
      <c r="C875" s="11"/>
      <c r="D875" s="11"/>
      <c r="E875" s="11"/>
      <c r="F875" s="11"/>
      <c r="G875" s="11"/>
    </row>
    <row r="876">
      <c r="A876" s="11"/>
      <c r="B876" s="11"/>
      <c r="C876" s="11"/>
      <c r="D876" s="11"/>
      <c r="E876" s="11"/>
      <c r="F876" s="11"/>
      <c r="G876" s="11"/>
    </row>
    <row r="877">
      <c r="A877" s="11"/>
      <c r="B877" s="11"/>
      <c r="C877" s="11"/>
      <c r="D877" s="11"/>
      <c r="E877" s="11"/>
      <c r="F877" s="11"/>
      <c r="G877" s="11"/>
    </row>
    <row r="878">
      <c r="A878" s="11"/>
      <c r="B878" s="11"/>
      <c r="C878" s="11"/>
      <c r="D878" s="11"/>
      <c r="E878" s="11"/>
      <c r="F878" s="11"/>
      <c r="G878" s="11"/>
    </row>
    <row r="879">
      <c r="A879" s="11"/>
      <c r="B879" s="11"/>
      <c r="C879" s="11"/>
      <c r="D879" s="11"/>
      <c r="E879" s="11"/>
      <c r="F879" s="11"/>
      <c r="G879" s="11"/>
    </row>
    <row r="880">
      <c r="A880" s="11"/>
      <c r="B880" s="11"/>
      <c r="C880" s="11"/>
      <c r="D880" s="11"/>
      <c r="E880" s="11"/>
      <c r="F880" s="11"/>
      <c r="G880" s="11"/>
    </row>
    <row r="881">
      <c r="A881" s="11"/>
      <c r="B881" s="11"/>
      <c r="C881" s="11"/>
      <c r="D881" s="11"/>
      <c r="E881" s="11"/>
      <c r="F881" s="11"/>
      <c r="G881" s="11"/>
    </row>
    <row r="882">
      <c r="A882" s="11"/>
      <c r="B882" s="11"/>
      <c r="C882" s="11"/>
      <c r="D882" s="11"/>
      <c r="E882" s="11"/>
      <c r="F882" s="11"/>
      <c r="G882" s="11"/>
    </row>
    <row r="883">
      <c r="A883" s="11"/>
      <c r="B883" s="11"/>
      <c r="C883" s="11"/>
      <c r="D883" s="11"/>
      <c r="E883" s="11"/>
      <c r="F883" s="11"/>
      <c r="G883" s="11"/>
    </row>
    <row r="884">
      <c r="A884" s="11"/>
      <c r="B884" s="11"/>
      <c r="C884" s="11"/>
      <c r="D884" s="11"/>
      <c r="E884" s="11"/>
      <c r="F884" s="11"/>
      <c r="G884" s="11"/>
    </row>
    <row r="885">
      <c r="A885" s="11"/>
      <c r="B885" s="11"/>
      <c r="C885" s="11"/>
      <c r="D885" s="11"/>
      <c r="E885" s="11"/>
      <c r="F885" s="11"/>
      <c r="G885" s="11"/>
    </row>
    <row r="886">
      <c r="A886" s="11"/>
      <c r="B886" s="11"/>
      <c r="C886" s="11"/>
      <c r="D886" s="11"/>
      <c r="E886" s="11"/>
      <c r="F886" s="11"/>
      <c r="G886" s="11"/>
    </row>
    <row r="887">
      <c r="A887" s="11"/>
      <c r="B887" s="11"/>
      <c r="C887" s="11"/>
      <c r="D887" s="11"/>
      <c r="E887" s="11"/>
      <c r="F887" s="11"/>
      <c r="G887" s="11"/>
    </row>
    <row r="888">
      <c r="A888" s="11"/>
      <c r="B888" s="11"/>
      <c r="C888" s="11"/>
      <c r="D888" s="11"/>
      <c r="E888" s="11"/>
      <c r="F888" s="11"/>
      <c r="G888" s="11"/>
    </row>
    <row r="889">
      <c r="A889" s="11"/>
      <c r="B889" s="11"/>
      <c r="C889" s="11"/>
      <c r="D889" s="11"/>
      <c r="E889" s="11"/>
      <c r="F889" s="11"/>
      <c r="G889" s="11"/>
    </row>
    <row r="890">
      <c r="A890" s="11"/>
      <c r="B890" s="11"/>
      <c r="C890" s="11"/>
      <c r="D890" s="11"/>
      <c r="E890" s="11"/>
      <c r="F890" s="11"/>
      <c r="G890" s="11"/>
    </row>
    <row r="891">
      <c r="A891" s="11"/>
      <c r="B891" s="11"/>
      <c r="C891" s="11"/>
      <c r="D891" s="11"/>
      <c r="E891" s="11"/>
      <c r="F891" s="11"/>
      <c r="G891" s="11"/>
    </row>
    <row r="892">
      <c r="A892" s="11"/>
      <c r="B892" s="11"/>
      <c r="C892" s="11"/>
      <c r="D892" s="11"/>
      <c r="E892" s="11"/>
      <c r="F892" s="11"/>
      <c r="G892" s="11"/>
    </row>
    <row r="893">
      <c r="A893" s="11"/>
      <c r="B893" s="11"/>
      <c r="C893" s="11"/>
      <c r="D893" s="11"/>
      <c r="E893" s="11"/>
      <c r="F893" s="11"/>
      <c r="G893" s="11"/>
    </row>
    <row r="894">
      <c r="A894" s="11"/>
      <c r="B894" s="11"/>
      <c r="C894" s="11"/>
      <c r="D894" s="11"/>
      <c r="E894" s="11"/>
      <c r="F894" s="11"/>
      <c r="G894" s="11"/>
    </row>
    <row r="895">
      <c r="A895" s="11"/>
      <c r="B895" s="11"/>
      <c r="C895" s="11"/>
      <c r="D895" s="11"/>
      <c r="E895" s="11"/>
      <c r="F895" s="11"/>
      <c r="G895" s="11"/>
    </row>
    <row r="896">
      <c r="A896" s="11"/>
      <c r="B896" s="11"/>
      <c r="C896" s="11"/>
      <c r="D896" s="11"/>
      <c r="E896" s="11"/>
      <c r="F896" s="11"/>
      <c r="G896" s="11"/>
    </row>
    <row r="897">
      <c r="A897" s="11"/>
      <c r="B897" s="11"/>
      <c r="C897" s="11"/>
      <c r="D897" s="11"/>
      <c r="E897" s="11"/>
      <c r="F897" s="11"/>
      <c r="G897" s="11"/>
    </row>
    <row r="898">
      <c r="A898" s="11"/>
      <c r="B898" s="11"/>
      <c r="C898" s="11"/>
      <c r="D898" s="11"/>
      <c r="E898" s="11"/>
      <c r="F898" s="11"/>
      <c r="G898" s="11"/>
    </row>
    <row r="899">
      <c r="A899" s="11"/>
      <c r="B899" s="11"/>
      <c r="C899" s="11"/>
      <c r="D899" s="11"/>
      <c r="E899" s="11"/>
      <c r="F899" s="11"/>
      <c r="G899" s="11"/>
    </row>
    <row r="900">
      <c r="A900" s="11"/>
      <c r="B900" s="11"/>
      <c r="C900" s="11"/>
      <c r="D900" s="11"/>
      <c r="E900" s="11"/>
      <c r="F900" s="11"/>
      <c r="G900" s="11"/>
    </row>
    <row r="901">
      <c r="A901" s="11"/>
      <c r="B901" s="11"/>
      <c r="C901" s="11"/>
      <c r="D901" s="11"/>
      <c r="E901" s="11"/>
      <c r="F901" s="11"/>
      <c r="G901" s="11"/>
    </row>
    <row r="902">
      <c r="A902" s="11"/>
      <c r="B902" s="11"/>
      <c r="C902" s="11"/>
      <c r="D902" s="11"/>
      <c r="E902" s="11"/>
      <c r="F902" s="11"/>
      <c r="G902" s="11"/>
    </row>
    <row r="903">
      <c r="A903" s="11"/>
      <c r="B903" s="11"/>
      <c r="C903" s="11"/>
      <c r="D903" s="11"/>
      <c r="E903" s="11"/>
      <c r="F903" s="11"/>
      <c r="G903" s="11"/>
    </row>
    <row r="904">
      <c r="A904" s="11"/>
      <c r="B904" s="11"/>
      <c r="C904" s="11"/>
      <c r="D904" s="11"/>
      <c r="E904" s="11"/>
      <c r="F904" s="11"/>
      <c r="G904" s="11"/>
    </row>
    <row r="905">
      <c r="A905" s="11"/>
      <c r="B905" s="11"/>
      <c r="C905" s="11"/>
      <c r="D905" s="11"/>
      <c r="E905" s="11"/>
      <c r="F905" s="11"/>
      <c r="G905" s="11"/>
    </row>
    <row r="906">
      <c r="A906" s="11"/>
      <c r="B906" s="11"/>
      <c r="C906" s="11"/>
      <c r="D906" s="11"/>
      <c r="E906" s="11"/>
      <c r="F906" s="11"/>
      <c r="G906" s="11"/>
    </row>
    <row r="907">
      <c r="A907" s="11"/>
      <c r="B907" s="11"/>
      <c r="C907" s="11"/>
      <c r="D907" s="11"/>
      <c r="E907" s="11"/>
      <c r="F907" s="11"/>
      <c r="G907" s="11"/>
    </row>
    <row r="908">
      <c r="A908" s="11"/>
      <c r="B908" s="11"/>
      <c r="C908" s="11"/>
      <c r="D908" s="11"/>
      <c r="E908" s="11"/>
      <c r="F908" s="11"/>
      <c r="G908" s="11"/>
    </row>
    <row r="909">
      <c r="A909" s="11"/>
      <c r="B909" s="11"/>
      <c r="C909" s="11"/>
      <c r="D909" s="11"/>
      <c r="E909" s="11"/>
      <c r="F909" s="11"/>
      <c r="G909" s="11"/>
    </row>
    <row r="910">
      <c r="A910" s="11"/>
      <c r="B910" s="11"/>
      <c r="C910" s="11"/>
      <c r="D910" s="11"/>
      <c r="E910" s="11"/>
      <c r="F910" s="11"/>
      <c r="G910" s="11"/>
    </row>
    <row r="911">
      <c r="A911" s="11"/>
      <c r="B911" s="11"/>
      <c r="C911" s="11"/>
      <c r="D911" s="11"/>
      <c r="E911" s="11"/>
      <c r="F911" s="11"/>
      <c r="G911" s="11"/>
    </row>
    <row r="912">
      <c r="A912" s="11"/>
      <c r="B912" s="11"/>
      <c r="C912" s="11"/>
      <c r="D912" s="11"/>
      <c r="E912" s="11"/>
      <c r="F912" s="11"/>
      <c r="G912" s="11"/>
    </row>
    <row r="913">
      <c r="A913" s="11"/>
      <c r="B913" s="11"/>
      <c r="C913" s="11"/>
      <c r="D913" s="11"/>
      <c r="E913" s="11"/>
      <c r="F913" s="11"/>
      <c r="G913" s="11"/>
    </row>
    <row r="914">
      <c r="A914" s="11"/>
      <c r="B914" s="11"/>
      <c r="C914" s="11"/>
      <c r="D914" s="11"/>
      <c r="E914" s="11"/>
      <c r="F914" s="11"/>
      <c r="G914" s="11"/>
    </row>
    <row r="915">
      <c r="A915" s="11"/>
      <c r="B915" s="11"/>
      <c r="C915" s="11"/>
      <c r="D915" s="11"/>
      <c r="E915" s="11"/>
      <c r="F915" s="11"/>
      <c r="G915" s="11"/>
    </row>
    <row r="916">
      <c r="A916" s="11"/>
      <c r="B916" s="11"/>
      <c r="C916" s="11"/>
      <c r="D916" s="11"/>
      <c r="E916" s="11"/>
      <c r="F916" s="11"/>
      <c r="G916" s="11"/>
    </row>
    <row r="917">
      <c r="A917" s="11"/>
      <c r="B917" s="11"/>
      <c r="C917" s="11"/>
      <c r="D917" s="11"/>
      <c r="E917" s="11"/>
      <c r="F917" s="11"/>
      <c r="G917" s="11"/>
    </row>
    <row r="918">
      <c r="A918" s="11"/>
      <c r="B918" s="11"/>
      <c r="C918" s="11"/>
      <c r="D918" s="11"/>
      <c r="E918" s="11"/>
      <c r="F918" s="11"/>
      <c r="G918" s="11"/>
    </row>
    <row r="919">
      <c r="A919" s="11"/>
      <c r="B919" s="11"/>
      <c r="C919" s="11"/>
      <c r="D919" s="11"/>
      <c r="E919" s="11"/>
      <c r="F919" s="11"/>
      <c r="G919" s="11"/>
    </row>
    <row r="920">
      <c r="A920" s="11"/>
      <c r="B920" s="11"/>
      <c r="C920" s="11"/>
      <c r="D920" s="11"/>
      <c r="E920" s="11"/>
      <c r="F920" s="11"/>
      <c r="G920" s="11"/>
    </row>
    <row r="921">
      <c r="A921" s="11"/>
      <c r="B921" s="11"/>
      <c r="C921" s="11"/>
      <c r="D921" s="11"/>
      <c r="E921" s="11"/>
      <c r="F921" s="11"/>
      <c r="G921" s="11"/>
    </row>
    <row r="922">
      <c r="A922" s="11"/>
      <c r="B922" s="11"/>
      <c r="C922" s="11"/>
      <c r="D922" s="11"/>
      <c r="E922" s="11"/>
      <c r="F922" s="11"/>
      <c r="G922" s="11"/>
    </row>
    <row r="923">
      <c r="A923" s="11"/>
      <c r="B923" s="11"/>
      <c r="C923" s="11"/>
      <c r="D923" s="11"/>
      <c r="E923" s="11"/>
      <c r="F923" s="11"/>
      <c r="G923" s="11"/>
    </row>
    <row r="924">
      <c r="A924" s="11"/>
      <c r="B924" s="11"/>
      <c r="C924" s="11"/>
      <c r="D924" s="11"/>
      <c r="E924" s="11"/>
      <c r="F924" s="11"/>
      <c r="G924" s="11"/>
    </row>
    <row r="925">
      <c r="A925" s="11"/>
      <c r="B925" s="11"/>
      <c r="C925" s="11"/>
      <c r="D925" s="11"/>
      <c r="E925" s="11"/>
      <c r="F925" s="11"/>
      <c r="G925" s="11"/>
    </row>
    <row r="926">
      <c r="A926" s="11"/>
      <c r="B926" s="11"/>
      <c r="C926" s="11"/>
      <c r="D926" s="11"/>
      <c r="E926" s="11"/>
      <c r="F926" s="11"/>
      <c r="G926" s="11"/>
    </row>
    <row r="927">
      <c r="A927" s="11"/>
      <c r="B927" s="11"/>
      <c r="C927" s="11"/>
      <c r="D927" s="11"/>
      <c r="E927" s="11"/>
      <c r="F927" s="11"/>
      <c r="G927" s="11"/>
    </row>
    <row r="928">
      <c r="A928" s="11"/>
      <c r="B928" s="11"/>
      <c r="C928" s="11"/>
      <c r="D928" s="11"/>
      <c r="E928" s="11"/>
      <c r="F928" s="11"/>
      <c r="G928" s="11"/>
    </row>
    <row r="929">
      <c r="A929" s="11"/>
      <c r="B929" s="11"/>
      <c r="C929" s="11"/>
      <c r="D929" s="11"/>
      <c r="E929" s="11"/>
      <c r="F929" s="11"/>
      <c r="G929" s="11"/>
    </row>
    <row r="930">
      <c r="A930" s="11"/>
      <c r="B930" s="11"/>
      <c r="C930" s="11"/>
      <c r="D930" s="11"/>
      <c r="E930" s="11"/>
      <c r="F930" s="11"/>
      <c r="G930" s="11"/>
    </row>
    <row r="931">
      <c r="A931" s="11"/>
      <c r="B931" s="11"/>
      <c r="C931" s="11"/>
      <c r="D931" s="11"/>
      <c r="E931" s="11"/>
      <c r="F931" s="11"/>
      <c r="G931" s="11"/>
    </row>
    <row r="932">
      <c r="A932" s="11"/>
      <c r="B932" s="11"/>
      <c r="C932" s="11"/>
      <c r="D932" s="11"/>
      <c r="E932" s="11"/>
      <c r="F932" s="11"/>
      <c r="G932" s="11"/>
    </row>
    <row r="933">
      <c r="A933" s="11"/>
      <c r="B933" s="11"/>
      <c r="C933" s="11"/>
      <c r="D933" s="11"/>
      <c r="E933" s="11"/>
      <c r="F933" s="11"/>
      <c r="G933" s="11"/>
    </row>
    <row r="934">
      <c r="A934" s="11"/>
      <c r="B934" s="11"/>
      <c r="C934" s="11"/>
      <c r="D934" s="11"/>
      <c r="E934" s="11"/>
      <c r="F934" s="11"/>
      <c r="G934" s="11"/>
    </row>
    <row r="935">
      <c r="A935" s="11"/>
      <c r="B935" s="11"/>
      <c r="C935" s="11"/>
      <c r="D935" s="11"/>
      <c r="E935" s="11"/>
      <c r="F935" s="11"/>
      <c r="G935" s="11"/>
    </row>
    <row r="936">
      <c r="A936" s="11"/>
      <c r="B936" s="11"/>
      <c r="C936" s="11"/>
      <c r="D936" s="11"/>
      <c r="E936" s="11"/>
      <c r="F936" s="11"/>
      <c r="G936" s="11"/>
    </row>
    <row r="937">
      <c r="A937" s="11"/>
      <c r="B937" s="11"/>
      <c r="C937" s="11"/>
      <c r="D937" s="11"/>
      <c r="E937" s="11"/>
      <c r="F937" s="11"/>
      <c r="G937" s="11"/>
    </row>
    <row r="938">
      <c r="A938" s="11"/>
      <c r="B938" s="11"/>
      <c r="C938" s="11"/>
      <c r="D938" s="11"/>
      <c r="E938" s="11"/>
      <c r="F938" s="11"/>
      <c r="G938" s="11"/>
    </row>
    <row r="939">
      <c r="A939" s="11"/>
      <c r="B939" s="11"/>
      <c r="C939" s="11"/>
      <c r="D939" s="11"/>
      <c r="E939" s="11"/>
      <c r="F939" s="11"/>
      <c r="G939" s="11"/>
    </row>
    <row r="940">
      <c r="A940" s="11"/>
      <c r="B940" s="11"/>
      <c r="C940" s="11"/>
      <c r="D940" s="11"/>
      <c r="E940" s="11"/>
      <c r="F940" s="11"/>
      <c r="G940" s="11"/>
    </row>
    <row r="941">
      <c r="A941" s="11"/>
      <c r="B941" s="11"/>
      <c r="C941" s="11"/>
      <c r="D941" s="11"/>
      <c r="E941" s="11"/>
      <c r="F941" s="11"/>
      <c r="G941" s="11"/>
    </row>
    <row r="942">
      <c r="A942" s="11"/>
      <c r="B942" s="11"/>
      <c r="C942" s="11"/>
      <c r="D942" s="11"/>
      <c r="E942" s="11"/>
      <c r="F942" s="11"/>
      <c r="G942" s="11"/>
    </row>
    <row r="943">
      <c r="A943" s="11"/>
      <c r="B943" s="11"/>
      <c r="C943" s="11"/>
      <c r="D943" s="11"/>
      <c r="E943" s="11"/>
      <c r="F943" s="11"/>
      <c r="G943" s="11"/>
    </row>
    <row r="944">
      <c r="A944" s="11"/>
      <c r="B944" s="11"/>
      <c r="C944" s="11"/>
      <c r="D944" s="11"/>
      <c r="E944" s="11"/>
      <c r="F944" s="11"/>
      <c r="G944" s="11"/>
    </row>
    <row r="945">
      <c r="A945" s="11"/>
      <c r="B945" s="11"/>
      <c r="C945" s="11"/>
      <c r="D945" s="11"/>
      <c r="E945" s="11"/>
      <c r="F945" s="11"/>
      <c r="G945" s="11"/>
    </row>
    <row r="946">
      <c r="A946" s="11"/>
      <c r="B946" s="11"/>
      <c r="C946" s="11"/>
      <c r="D946" s="11"/>
      <c r="E946" s="11"/>
      <c r="F946" s="11"/>
      <c r="G946" s="11"/>
    </row>
    <row r="947">
      <c r="A947" s="11"/>
      <c r="B947" s="11"/>
      <c r="C947" s="11"/>
      <c r="D947" s="11"/>
      <c r="E947" s="11"/>
      <c r="F947" s="11"/>
      <c r="G947" s="11"/>
    </row>
    <row r="948">
      <c r="A948" s="11"/>
      <c r="B948" s="11"/>
      <c r="C948" s="11"/>
      <c r="D948" s="11"/>
      <c r="E948" s="11"/>
      <c r="F948" s="11"/>
      <c r="G948" s="11"/>
    </row>
    <row r="949">
      <c r="A949" s="11"/>
      <c r="B949" s="11"/>
      <c r="C949" s="11"/>
      <c r="D949" s="11"/>
      <c r="E949" s="11"/>
      <c r="F949" s="11"/>
      <c r="G949" s="11"/>
    </row>
    <row r="950">
      <c r="A950" s="11"/>
      <c r="B950" s="11"/>
      <c r="C950" s="11"/>
      <c r="D950" s="11"/>
      <c r="E950" s="11"/>
      <c r="F950" s="11"/>
      <c r="G950" s="11"/>
    </row>
    <row r="951">
      <c r="A951" s="11"/>
      <c r="B951" s="11"/>
      <c r="C951" s="11"/>
      <c r="D951" s="11"/>
      <c r="E951" s="11"/>
      <c r="F951" s="11"/>
      <c r="G951" s="11"/>
    </row>
    <row r="952">
      <c r="A952" s="11"/>
      <c r="B952" s="11"/>
      <c r="C952" s="11"/>
      <c r="D952" s="11"/>
      <c r="E952" s="11"/>
      <c r="F952" s="11"/>
      <c r="G952" s="11"/>
    </row>
    <row r="953">
      <c r="A953" s="11"/>
      <c r="B953" s="11"/>
      <c r="C953" s="11"/>
      <c r="D953" s="11"/>
      <c r="E953" s="11"/>
      <c r="F953" s="11"/>
      <c r="G953" s="11"/>
    </row>
    <row r="954">
      <c r="A954" s="11"/>
      <c r="B954" s="11"/>
      <c r="C954" s="11"/>
      <c r="D954" s="11"/>
      <c r="E954" s="11"/>
      <c r="F954" s="11"/>
      <c r="G954" s="11"/>
    </row>
    <row r="955">
      <c r="A955" s="11"/>
      <c r="B955" s="11"/>
      <c r="C955" s="11"/>
      <c r="D955" s="11"/>
      <c r="E955" s="11"/>
      <c r="F955" s="11"/>
      <c r="G955" s="11"/>
    </row>
    <row r="956">
      <c r="A956" s="11"/>
      <c r="B956" s="11"/>
      <c r="C956" s="11"/>
      <c r="D956" s="11"/>
      <c r="E956" s="11"/>
      <c r="F956" s="11"/>
      <c r="G956" s="11"/>
    </row>
    <row r="957">
      <c r="A957" s="11"/>
      <c r="B957" s="11"/>
      <c r="C957" s="11"/>
      <c r="D957" s="11"/>
      <c r="E957" s="11"/>
      <c r="F957" s="11"/>
      <c r="G957" s="11"/>
    </row>
    <row r="958">
      <c r="A958" s="11"/>
      <c r="B958" s="11"/>
      <c r="C958" s="11"/>
      <c r="D958" s="11"/>
      <c r="E958" s="11"/>
      <c r="F958" s="11"/>
      <c r="G958" s="11"/>
    </row>
    <row r="959">
      <c r="A959" s="11"/>
      <c r="B959" s="11"/>
      <c r="C959" s="11"/>
      <c r="D959" s="11"/>
      <c r="E959" s="11"/>
      <c r="F959" s="11"/>
      <c r="G959" s="11"/>
    </row>
    <row r="960">
      <c r="A960" s="11"/>
      <c r="B960" s="11"/>
      <c r="C960" s="11"/>
      <c r="D960" s="11"/>
      <c r="E960" s="11"/>
      <c r="F960" s="11"/>
      <c r="G960" s="11"/>
    </row>
    <row r="961">
      <c r="A961" s="11"/>
      <c r="B961" s="11"/>
      <c r="C961" s="11"/>
      <c r="D961" s="11"/>
      <c r="E961" s="11"/>
      <c r="F961" s="11"/>
      <c r="G961" s="11"/>
    </row>
    <row r="962">
      <c r="A962" s="11"/>
      <c r="B962" s="11"/>
      <c r="C962" s="11"/>
      <c r="D962" s="11"/>
      <c r="E962" s="11"/>
      <c r="F962" s="11"/>
      <c r="G962" s="11"/>
    </row>
    <row r="963">
      <c r="A963" s="11"/>
      <c r="B963" s="11"/>
      <c r="C963" s="11"/>
      <c r="D963" s="11"/>
      <c r="E963" s="11"/>
      <c r="F963" s="11"/>
      <c r="G963" s="11"/>
    </row>
    <row r="964">
      <c r="A964" s="11"/>
      <c r="B964" s="11"/>
      <c r="C964" s="11"/>
      <c r="D964" s="11"/>
      <c r="E964" s="11"/>
      <c r="F964" s="11"/>
      <c r="G964" s="11"/>
    </row>
    <row r="965">
      <c r="A965" s="11"/>
      <c r="B965" s="11"/>
      <c r="C965" s="11"/>
      <c r="D965" s="11"/>
      <c r="E965" s="11"/>
      <c r="F965" s="11"/>
      <c r="G965" s="11"/>
    </row>
    <row r="966">
      <c r="A966" s="11"/>
      <c r="B966" s="11"/>
      <c r="C966" s="11"/>
      <c r="D966" s="11"/>
      <c r="E966" s="11"/>
      <c r="F966" s="11"/>
      <c r="G966" s="11"/>
    </row>
    <row r="967">
      <c r="A967" s="11"/>
      <c r="B967" s="11"/>
      <c r="C967" s="11"/>
      <c r="D967" s="11"/>
      <c r="E967" s="11"/>
      <c r="F967" s="11"/>
      <c r="G967" s="11"/>
    </row>
    <row r="968">
      <c r="A968" s="11"/>
      <c r="B968" s="11"/>
      <c r="C968" s="11"/>
      <c r="D968" s="11"/>
      <c r="E968" s="11"/>
      <c r="F968" s="11"/>
      <c r="G968" s="11"/>
    </row>
    <row r="969">
      <c r="A969" s="11"/>
      <c r="B969" s="11"/>
      <c r="C969" s="11"/>
      <c r="D969" s="11"/>
      <c r="E969" s="11"/>
      <c r="F969" s="11"/>
      <c r="G969" s="11"/>
    </row>
    <row r="970">
      <c r="A970" s="11"/>
      <c r="B970" s="11"/>
      <c r="C970" s="11"/>
      <c r="D970" s="11"/>
      <c r="E970" s="11"/>
      <c r="F970" s="11"/>
      <c r="G970" s="11"/>
    </row>
    <row r="971">
      <c r="A971" s="11"/>
      <c r="B971" s="11"/>
      <c r="C971" s="11"/>
      <c r="D971" s="11"/>
      <c r="E971" s="11"/>
      <c r="F971" s="11"/>
      <c r="G971" s="11"/>
    </row>
    <row r="972">
      <c r="A972" s="11"/>
      <c r="B972" s="11"/>
      <c r="C972" s="11"/>
      <c r="D972" s="11"/>
      <c r="E972" s="11"/>
      <c r="F972" s="11"/>
      <c r="G972" s="11"/>
    </row>
    <row r="973">
      <c r="A973" s="11"/>
      <c r="B973" s="11"/>
      <c r="C973" s="11"/>
      <c r="D973" s="11"/>
      <c r="E973" s="11"/>
      <c r="F973" s="11"/>
      <c r="G973" s="11"/>
    </row>
    <row r="974">
      <c r="A974" s="11"/>
      <c r="B974" s="11"/>
      <c r="C974" s="11"/>
      <c r="D974" s="11"/>
      <c r="E974" s="11"/>
      <c r="F974" s="11"/>
      <c r="G974" s="11"/>
    </row>
    <row r="975">
      <c r="A975" s="11"/>
      <c r="B975" s="11"/>
      <c r="C975" s="11"/>
      <c r="D975" s="11"/>
      <c r="E975" s="11"/>
      <c r="F975" s="11"/>
      <c r="G975" s="11"/>
    </row>
    <row r="976">
      <c r="A976" s="11"/>
      <c r="B976" s="11"/>
      <c r="C976" s="11"/>
      <c r="D976" s="11"/>
      <c r="E976" s="11"/>
      <c r="F976" s="11"/>
      <c r="G976" s="11"/>
    </row>
    <row r="977">
      <c r="A977" s="11"/>
      <c r="B977" s="11"/>
      <c r="C977" s="11"/>
      <c r="D977" s="11"/>
      <c r="E977" s="11"/>
      <c r="F977" s="11"/>
      <c r="G977" s="11"/>
    </row>
    <row r="978">
      <c r="A978" s="11"/>
      <c r="B978" s="11"/>
      <c r="C978" s="11"/>
      <c r="D978" s="11"/>
      <c r="E978" s="11"/>
      <c r="F978" s="11"/>
      <c r="G978" s="11"/>
    </row>
    <row r="979">
      <c r="A979" s="11"/>
      <c r="B979" s="11"/>
      <c r="C979" s="11"/>
      <c r="D979" s="11"/>
      <c r="E979" s="11"/>
      <c r="F979" s="11"/>
      <c r="G979" s="11"/>
    </row>
    <row r="980">
      <c r="A980" s="11"/>
      <c r="B980" s="11"/>
      <c r="C980" s="11"/>
      <c r="D980" s="11"/>
      <c r="E980" s="11"/>
      <c r="F980" s="11"/>
      <c r="G980" s="11"/>
    </row>
    <row r="981">
      <c r="A981" s="11"/>
      <c r="B981" s="11"/>
      <c r="C981" s="11"/>
      <c r="D981" s="11"/>
      <c r="E981" s="11"/>
      <c r="F981" s="11"/>
      <c r="G981" s="11"/>
    </row>
    <row r="982">
      <c r="A982" s="11"/>
      <c r="B982" s="11"/>
      <c r="C982" s="11"/>
      <c r="D982" s="11"/>
      <c r="E982" s="11"/>
      <c r="F982" s="11"/>
      <c r="G982" s="11"/>
    </row>
    <row r="983">
      <c r="A983" s="11"/>
      <c r="B983" s="11"/>
      <c r="C983" s="11"/>
      <c r="D983" s="11"/>
      <c r="E983" s="11"/>
      <c r="F983" s="11"/>
      <c r="G983" s="11"/>
    </row>
    <row r="984">
      <c r="A984" s="11"/>
      <c r="B984" s="11"/>
      <c r="C984" s="11"/>
      <c r="D984" s="11"/>
      <c r="E984" s="11"/>
      <c r="F984" s="11"/>
      <c r="G984" s="11"/>
    </row>
    <row r="985">
      <c r="A985" s="11"/>
      <c r="B985" s="11"/>
      <c r="C985" s="11"/>
      <c r="D985" s="11"/>
      <c r="E985" s="11"/>
      <c r="F985" s="11"/>
      <c r="G985" s="11"/>
    </row>
    <row r="986">
      <c r="A986" s="11"/>
      <c r="B986" s="11"/>
      <c r="C986" s="11"/>
      <c r="D986" s="11"/>
      <c r="E986" s="11"/>
      <c r="F986" s="11"/>
      <c r="G986" s="11"/>
    </row>
    <row r="987">
      <c r="A987" s="11"/>
      <c r="B987" s="11"/>
      <c r="C987" s="11"/>
      <c r="D987" s="11"/>
      <c r="E987" s="11"/>
      <c r="F987" s="11"/>
      <c r="G987" s="11"/>
    </row>
    <row r="988">
      <c r="A988" s="11"/>
      <c r="B988" s="11"/>
      <c r="C988" s="11"/>
      <c r="D988" s="11"/>
      <c r="E988" s="11"/>
      <c r="F988" s="11"/>
      <c r="G988" s="11"/>
    </row>
    <row r="989">
      <c r="A989" s="11"/>
      <c r="B989" s="11"/>
      <c r="C989" s="11"/>
      <c r="D989" s="11"/>
      <c r="E989" s="11"/>
      <c r="F989" s="11"/>
      <c r="G989" s="11"/>
    </row>
    <row r="990">
      <c r="A990" s="11"/>
      <c r="B990" s="11"/>
      <c r="C990" s="11"/>
      <c r="D990" s="11"/>
      <c r="E990" s="11"/>
      <c r="F990" s="11"/>
      <c r="G990" s="11"/>
    </row>
    <row r="991">
      <c r="A991" s="11"/>
      <c r="B991" s="11"/>
      <c r="C991" s="11"/>
      <c r="D991" s="11"/>
      <c r="E991" s="11"/>
      <c r="F991" s="11"/>
      <c r="G991" s="11"/>
    </row>
    <row r="992">
      <c r="A992" s="11"/>
      <c r="B992" s="11"/>
      <c r="C992" s="11"/>
      <c r="D992" s="11"/>
      <c r="E992" s="11"/>
      <c r="F992" s="11"/>
      <c r="G992" s="11"/>
    </row>
    <row r="993">
      <c r="A993" s="11"/>
      <c r="B993" s="11"/>
      <c r="C993" s="11"/>
      <c r="D993" s="11"/>
      <c r="E993" s="11"/>
      <c r="F993" s="11"/>
      <c r="G993" s="11"/>
    </row>
    <row r="994">
      <c r="A994" s="11"/>
      <c r="B994" s="11"/>
      <c r="C994" s="11"/>
      <c r="D994" s="11"/>
      <c r="E994" s="11"/>
      <c r="F994" s="11"/>
      <c r="G994" s="11"/>
    </row>
    <row r="995">
      <c r="A995" s="11"/>
      <c r="B995" s="11"/>
      <c r="C995" s="11"/>
      <c r="D995" s="11"/>
      <c r="E995" s="11"/>
      <c r="F995" s="11"/>
      <c r="G995" s="11"/>
    </row>
    <row r="996">
      <c r="A996" s="11"/>
      <c r="B996" s="11"/>
      <c r="C996" s="11"/>
      <c r="D996" s="11"/>
      <c r="E996" s="11"/>
      <c r="F996" s="11"/>
      <c r="G996" s="11"/>
    </row>
    <row r="997">
      <c r="A997" s="11"/>
      <c r="B997" s="11"/>
      <c r="C997" s="11"/>
      <c r="D997" s="11"/>
      <c r="E997" s="11"/>
      <c r="F997" s="11"/>
      <c r="G997" s="11"/>
    </row>
    <row r="998">
      <c r="A998" s="11"/>
      <c r="B998" s="11"/>
      <c r="C998" s="11"/>
      <c r="D998" s="11"/>
      <c r="E998" s="11"/>
      <c r="F998" s="11"/>
      <c r="G998" s="11"/>
    </row>
    <row r="999">
      <c r="A999" s="11"/>
      <c r="B999" s="11"/>
      <c r="C999" s="11"/>
      <c r="D999" s="11"/>
      <c r="E999" s="11"/>
      <c r="F999" s="11"/>
      <c r="G999" s="11"/>
    </row>
    <row r="1000">
      <c r="A1000" s="11"/>
      <c r="B1000" s="11"/>
      <c r="C1000" s="11"/>
      <c r="D1000" s="11"/>
      <c r="E1000" s="11"/>
      <c r="F1000" s="11"/>
      <c r="G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6.5"/>
    <col customWidth="1" min="5" max="7" width="8.0"/>
  </cols>
  <sheetData>
    <row r="1">
      <c r="A1" s="17" t="s">
        <v>14</v>
      </c>
      <c r="B1" s="17" t="s">
        <v>15</v>
      </c>
      <c r="C1" s="17" t="s">
        <v>16</v>
      </c>
      <c r="D1" s="17" t="s">
        <v>17</v>
      </c>
      <c r="E1" s="17" t="s">
        <v>18</v>
      </c>
      <c r="F1" s="17" t="s">
        <v>19</v>
      </c>
      <c r="G1" s="17" t="s">
        <v>20</v>
      </c>
      <c r="J1" s="23" t="s">
        <v>21</v>
      </c>
      <c r="K1" s="23"/>
    </row>
    <row r="2">
      <c r="A2" s="18" t="s">
        <v>22</v>
      </c>
      <c r="B2" s="18" t="s">
        <v>23</v>
      </c>
      <c r="C2" s="18" t="s">
        <v>24</v>
      </c>
      <c r="D2" s="18" t="s">
        <v>212</v>
      </c>
      <c r="E2" s="19">
        <v>9585.0</v>
      </c>
      <c r="F2" s="19">
        <v>764.0</v>
      </c>
      <c r="G2" s="19">
        <v>339.0</v>
      </c>
      <c r="I2" s="14"/>
      <c r="J2" s="24" t="s">
        <v>18</v>
      </c>
      <c r="K2" s="25">
        <f>AVERAGE(E2:E31)</f>
        <v>8692.142857</v>
      </c>
    </row>
    <row r="3">
      <c r="A3" s="18" t="s">
        <v>27</v>
      </c>
      <c r="B3" s="18" t="s">
        <v>28</v>
      </c>
      <c r="C3" s="18" t="s">
        <v>29</v>
      </c>
      <c r="D3" s="18" t="s">
        <v>213</v>
      </c>
      <c r="E3" s="19">
        <v>8617.0</v>
      </c>
      <c r="F3" s="19">
        <v>674.0</v>
      </c>
      <c r="G3" s="19">
        <v>174.0</v>
      </c>
      <c r="I3" s="14"/>
      <c r="J3" s="24" t="s">
        <v>19</v>
      </c>
      <c r="K3" s="26">
        <f>AVERAGE(F2:F31)/10</f>
        <v>75.4962963</v>
      </c>
    </row>
    <row r="4">
      <c r="A4" s="18" t="s">
        <v>31</v>
      </c>
      <c r="B4" s="20"/>
      <c r="C4" s="18" t="s">
        <v>32</v>
      </c>
      <c r="D4" s="18" t="s">
        <v>214</v>
      </c>
      <c r="E4" s="19">
        <v>8545.0</v>
      </c>
      <c r="F4" s="19">
        <v>637.0</v>
      </c>
      <c r="G4" s="19">
        <v>63.0</v>
      </c>
      <c r="I4" s="14"/>
      <c r="J4" s="24" t="s">
        <v>20</v>
      </c>
      <c r="K4" s="26">
        <f>AVERAGE(G2:G31)/10</f>
        <v>33.15769231</v>
      </c>
    </row>
    <row r="5">
      <c r="A5" s="18" t="s">
        <v>35</v>
      </c>
      <c r="B5" s="18" t="s">
        <v>36</v>
      </c>
      <c r="C5" s="18" t="s">
        <v>37</v>
      </c>
      <c r="D5" s="18" t="s">
        <v>215</v>
      </c>
      <c r="E5" s="19">
        <v>8518.0</v>
      </c>
      <c r="F5" s="19">
        <v>779.0</v>
      </c>
      <c r="G5" s="19">
        <v>288.0</v>
      </c>
    </row>
    <row r="6">
      <c r="A6" s="18" t="s">
        <v>39</v>
      </c>
      <c r="B6" s="18" t="s">
        <v>40</v>
      </c>
      <c r="C6" s="18" t="s">
        <v>41</v>
      </c>
      <c r="D6" s="18" t="s">
        <v>216</v>
      </c>
      <c r="E6" s="19">
        <v>8653.0</v>
      </c>
      <c r="F6" s="19">
        <v>779.0</v>
      </c>
      <c r="G6" s="19">
        <v>325.0</v>
      </c>
    </row>
    <row r="7">
      <c r="A7" s="18" t="s">
        <v>45</v>
      </c>
      <c r="B7" s="18" t="s">
        <v>46</v>
      </c>
      <c r="C7" s="18" t="s">
        <v>47</v>
      </c>
      <c r="D7" s="18" t="s">
        <v>217</v>
      </c>
      <c r="E7" s="19">
        <v>8699.0</v>
      </c>
      <c r="F7" s="19">
        <v>778.0</v>
      </c>
      <c r="G7" s="19">
        <v>351.0</v>
      </c>
    </row>
    <row r="8">
      <c r="A8" s="18" t="s">
        <v>50</v>
      </c>
      <c r="B8" s="18" t="s">
        <v>51</v>
      </c>
      <c r="C8" s="18" t="s">
        <v>52</v>
      </c>
      <c r="D8" s="18" t="s">
        <v>218</v>
      </c>
      <c r="E8" s="19">
        <v>8688.0</v>
      </c>
      <c r="F8" s="19">
        <v>805.0</v>
      </c>
      <c r="G8" s="19">
        <v>357.0</v>
      </c>
    </row>
    <row r="9">
      <c r="A9" s="18" t="s">
        <v>54</v>
      </c>
      <c r="B9" s="18" t="s">
        <v>55</v>
      </c>
      <c r="C9" s="18" t="s">
        <v>56</v>
      </c>
      <c r="D9" s="18" t="s">
        <v>219</v>
      </c>
      <c r="E9" s="19">
        <v>8723.0</v>
      </c>
      <c r="F9" s="18" t="s">
        <v>220</v>
      </c>
      <c r="G9" s="19">
        <v>337.0</v>
      </c>
    </row>
    <row r="10">
      <c r="A10" s="18" t="s">
        <v>58</v>
      </c>
      <c r="B10" s="18" t="s">
        <v>59</v>
      </c>
      <c r="C10" s="18" t="s">
        <v>60</v>
      </c>
      <c r="D10" s="18" t="s">
        <v>221</v>
      </c>
      <c r="E10" s="19">
        <v>8679.0</v>
      </c>
      <c r="F10" s="19">
        <v>736.0</v>
      </c>
      <c r="G10" s="19">
        <v>314.0</v>
      </c>
    </row>
    <row r="11">
      <c r="A11" s="18" t="s">
        <v>63</v>
      </c>
      <c r="B11" s="18" t="s">
        <v>64</v>
      </c>
      <c r="C11" s="18" t="s">
        <v>65</v>
      </c>
      <c r="D11" s="18" t="s">
        <v>222</v>
      </c>
      <c r="E11" s="19">
        <v>8721.0</v>
      </c>
      <c r="F11" s="19">
        <v>902.0</v>
      </c>
      <c r="G11" s="19">
        <v>603.0</v>
      </c>
    </row>
    <row r="12">
      <c r="A12" s="18" t="s">
        <v>67</v>
      </c>
      <c r="B12" s="18" t="s">
        <v>68</v>
      </c>
      <c r="C12" s="18" t="s">
        <v>69</v>
      </c>
      <c r="D12" s="18" t="s">
        <v>223</v>
      </c>
      <c r="E12" s="19">
        <v>8806.0</v>
      </c>
      <c r="F12" s="19">
        <v>785.0</v>
      </c>
      <c r="G12" s="19">
        <v>342.0</v>
      </c>
    </row>
    <row r="13">
      <c r="A13" s="18" t="s">
        <v>67</v>
      </c>
      <c r="B13" s="18" t="s">
        <v>71</v>
      </c>
      <c r="C13" s="18" t="s">
        <v>72</v>
      </c>
      <c r="D13" s="18" t="s">
        <v>224</v>
      </c>
      <c r="E13" s="19">
        <v>8703.0</v>
      </c>
      <c r="F13" s="19">
        <v>731.0</v>
      </c>
      <c r="G13" s="19">
        <v>293.0</v>
      </c>
    </row>
    <row r="14">
      <c r="A14" s="18" t="s">
        <v>74</v>
      </c>
      <c r="B14" s="18" t="s">
        <v>75</v>
      </c>
      <c r="C14" s="18" t="s">
        <v>76</v>
      </c>
      <c r="D14" s="18" t="s">
        <v>225</v>
      </c>
      <c r="E14" s="19">
        <v>8688.0</v>
      </c>
      <c r="F14" s="19">
        <v>735.0</v>
      </c>
      <c r="G14" s="19">
        <v>364.0</v>
      </c>
    </row>
    <row r="15">
      <c r="A15" s="18" t="s">
        <v>78</v>
      </c>
      <c r="B15" s="18" t="s">
        <v>79</v>
      </c>
      <c r="C15" s="18" t="s">
        <v>80</v>
      </c>
      <c r="D15" s="18" t="s">
        <v>226</v>
      </c>
      <c r="E15" s="19">
        <v>8717.0</v>
      </c>
      <c r="F15" s="19">
        <v>731.0</v>
      </c>
      <c r="G15" s="18" t="s">
        <v>227</v>
      </c>
    </row>
    <row r="16">
      <c r="A16" s="18" t="s">
        <v>83</v>
      </c>
      <c r="B16" s="18" t="s">
        <v>84</v>
      </c>
      <c r="C16" s="18" t="s">
        <v>85</v>
      </c>
      <c r="D16" s="18" t="s">
        <v>228</v>
      </c>
      <c r="E16" s="19">
        <v>8743.0</v>
      </c>
      <c r="F16" s="18" t="s">
        <v>111</v>
      </c>
      <c r="G16" s="19">
        <v>354.0</v>
      </c>
    </row>
    <row r="17">
      <c r="A17" s="18" t="s">
        <v>87</v>
      </c>
      <c r="B17" s="18" t="s">
        <v>88</v>
      </c>
      <c r="C17" s="18" t="s">
        <v>89</v>
      </c>
      <c r="D17" s="18" t="s">
        <v>229</v>
      </c>
      <c r="E17" s="19">
        <v>8707.0</v>
      </c>
      <c r="F17" s="19">
        <v>754.0</v>
      </c>
      <c r="G17" s="19">
        <v>329.0</v>
      </c>
    </row>
    <row r="18">
      <c r="A18" s="18" t="s">
        <v>91</v>
      </c>
      <c r="B18" s="18" t="s">
        <v>92</v>
      </c>
      <c r="C18" s="18" t="s">
        <v>93</v>
      </c>
      <c r="D18" s="18" t="s">
        <v>230</v>
      </c>
      <c r="E18" s="19">
        <v>8709.0</v>
      </c>
      <c r="F18" s="19">
        <v>786.0</v>
      </c>
      <c r="G18" s="18" t="s">
        <v>231</v>
      </c>
    </row>
    <row r="19">
      <c r="A19" s="18" t="s">
        <v>95</v>
      </c>
      <c r="B19" s="18" t="s">
        <v>96</v>
      </c>
      <c r="C19" s="18" t="s">
        <v>97</v>
      </c>
      <c r="D19" s="18" t="s">
        <v>232</v>
      </c>
      <c r="E19" s="18" t="s">
        <v>233</v>
      </c>
      <c r="F19" s="18" t="s">
        <v>234</v>
      </c>
      <c r="G19" s="19">
        <v>462.0</v>
      </c>
    </row>
    <row r="20">
      <c r="A20" s="18" t="s">
        <v>99</v>
      </c>
      <c r="B20" s="18" t="s">
        <v>100</v>
      </c>
      <c r="C20" s="18" t="s">
        <v>101</v>
      </c>
      <c r="D20" s="18" t="s">
        <v>235</v>
      </c>
      <c r="E20" s="19">
        <v>8748.0</v>
      </c>
      <c r="F20" s="19">
        <v>768.0</v>
      </c>
      <c r="G20" s="19">
        <v>442.0</v>
      </c>
    </row>
    <row r="21">
      <c r="A21" s="18" t="s">
        <v>103</v>
      </c>
      <c r="B21" s="18" t="s">
        <v>104</v>
      </c>
      <c r="C21" s="18" t="s">
        <v>105</v>
      </c>
      <c r="D21" s="18" t="s">
        <v>236</v>
      </c>
      <c r="E21" s="19">
        <v>8659.0</v>
      </c>
      <c r="F21" s="19">
        <v>813.0</v>
      </c>
      <c r="G21" s="19">
        <v>432.0</v>
      </c>
    </row>
    <row r="22">
      <c r="A22" s="18" t="s">
        <v>107</v>
      </c>
      <c r="B22" s="18" t="s">
        <v>108</v>
      </c>
      <c r="C22" s="18" t="s">
        <v>109</v>
      </c>
      <c r="D22" s="18" t="s">
        <v>237</v>
      </c>
      <c r="E22" s="19">
        <v>8661.0</v>
      </c>
      <c r="F22" s="19">
        <v>738.0</v>
      </c>
      <c r="G22" s="18" t="s">
        <v>238</v>
      </c>
    </row>
    <row r="23">
      <c r="A23" s="18" t="s">
        <v>112</v>
      </c>
      <c r="B23" s="18" t="s">
        <v>113</v>
      </c>
      <c r="C23" s="18" t="s">
        <v>114</v>
      </c>
      <c r="D23" s="18" t="s">
        <v>239</v>
      </c>
      <c r="E23" s="19">
        <v>8649.0</v>
      </c>
      <c r="F23" s="19">
        <v>795.0</v>
      </c>
      <c r="G23" s="19">
        <v>408.0</v>
      </c>
    </row>
    <row r="24">
      <c r="A24" s="18" t="s">
        <v>117</v>
      </c>
      <c r="B24" s="18" t="s">
        <v>118</v>
      </c>
      <c r="C24" s="18" t="s">
        <v>119</v>
      </c>
      <c r="D24" s="18" t="s">
        <v>240</v>
      </c>
      <c r="E24" s="19">
        <v>8717.0</v>
      </c>
      <c r="F24" s="19">
        <v>717.0</v>
      </c>
      <c r="G24" s="19">
        <v>324.0</v>
      </c>
    </row>
    <row r="25">
      <c r="A25" s="18" t="s">
        <v>121</v>
      </c>
      <c r="B25" s="18" t="s">
        <v>122</v>
      </c>
      <c r="C25" s="18" t="s">
        <v>123</v>
      </c>
      <c r="D25" s="18" t="s">
        <v>241</v>
      </c>
      <c r="E25" s="19">
        <v>8597.0</v>
      </c>
      <c r="F25" s="19">
        <v>806.0</v>
      </c>
      <c r="G25" s="19">
        <v>375.0</v>
      </c>
    </row>
    <row r="26">
      <c r="A26" s="18" t="s">
        <v>125</v>
      </c>
      <c r="B26" s="18" t="s">
        <v>126</v>
      </c>
      <c r="C26" s="18" t="s">
        <v>127</v>
      </c>
      <c r="D26" s="18" t="s">
        <v>242</v>
      </c>
      <c r="E26" s="18" t="s">
        <v>243</v>
      </c>
      <c r="F26" s="19">
        <v>814.0</v>
      </c>
      <c r="G26" s="19">
        <v>494.0</v>
      </c>
    </row>
    <row r="27">
      <c r="A27" s="18" t="s">
        <v>130</v>
      </c>
      <c r="B27" s="20"/>
      <c r="C27" s="18" t="s">
        <v>32</v>
      </c>
      <c r="D27" s="18" t="s">
        <v>244</v>
      </c>
      <c r="E27" s="19">
        <v>8462.0</v>
      </c>
      <c r="F27" s="19">
        <v>621.0</v>
      </c>
      <c r="G27" s="19">
        <v>25.0</v>
      </c>
    </row>
    <row r="28">
      <c r="A28" s="18" t="s">
        <v>132</v>
      </c>
      <c r="B28" s="18" t="s">
        <v>133</v>
      </c>
      <c r="C28" s="18" t="s">
        <v>134</v>
      </c>
      <c r="D28" s="18" t="s">
        <v>245</v>
      </c>
      <c r="E28" s="19">
        <v>8582.0</v>
      </c>
      <c r="F28" s="19">
        <v>756.0</v>
      </c>
      <c r="G28" s="18" t="s">
        <v>170</v>
      </c>
    </row>
    <row r="29">
      <c r="A29" s="18" t="s">
        <v>136</v>
      </c>
      <c r="B29" s="18" t="s">
        <v>137</v>
      </c>
      <c r="C29" s="18" t="s">
        <v>138</v>
      </c>
      <c r="D29" s="18" t="s">
        <v>246</v>
      </c>
      <c r="E29" s="19">
        <v>8594.0</v>
      </c>
      <c r="F29" s="19">
        <v>733.0</v>
      </c>
      <c r="G29" s="19">
        <v>207.0</v>
      </c>
    </row>
    <row r="30">
      <c r="A30" s="18" t="s">
        <v>140</v>
      </c>
      <c r="B30" s="18" t="s">
        <v>141</v>
      </c>
      <c r="C30" s="18" t="s">
        <v>142</v>
      </c>
      <c r="D30" s="18" t="s">
        <v>247</v>
      </c>
      <c r="E30" s="19">
        <v>8615.0</v>
      </c>
      <c r="F30" s="19">
        <v>701.0</v>
      </c>
      <c r="G30" s="19">
        <v>325.0</v>
      </c>
    </row>
    <row r="31">
      <c r="A31" s="18" t="s">
        <v>144</v>
      </c>
      <c r="B31" s="18" t="s">
        <v>145</v>
      </c>
      <c r="C31" s="18" t="s">
        <v>146</v>
      </c>
      <c r="D31" s="18" t="s">
        <v>248</v>
      </c>
      <c r="E31" s="19">
        <v>8595.0</v>
      </c>
      <c r="F31" s="19">
        <v>746.0</v>
      </c>
      <c r="G31" s="19">
        <v>294.0</v>
      </c>
    </row>
  </sheetData>
  <conditionalFormatting sqref="E2:G31">
    <cfRule type="notContainsBlanks" dxfId="0" priority="1">
      <formula>LEN(TRIM(E2))&gt;0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43.38"/>
  </cols>
  <sheetData>
    <row r="1">
      <c r="A1" s="17" t="s">
        <v>14</v>
      </c>
      <c r="B1" s="17" t="s">
        <v>15</v>
      </c>
      <c r="C1" s="17" t="s">
        <v>16</v>
      </c>
      <c r="D1" s="17" t="s">
        <v>17</v>
      </c>
      <c r="E1" s="17" t="s">
        <v>18</v>
      </c>
      <c r="F1" s="17" t="s">
        <v>19</v>
      </c>
      <c r="G1" s="17" t="s">
        <v>20</v>
      </c>
      <c r="J1" s="23" t="s">
        <v>21</v>
      </c>
      <c r="K1" s="23"/>
    </row>
    <row r="2">
      <c r="A2" s="18" t="s">
        <v>22</v>
      </c>
      <c r="B2" s="18" t="s">
        <v>23</v>
      </c>
      <c r="C2" s="18" t="s">
        <v>24</v>
      </c>
      <c r="D2" s="18" t="s">
        <v>23</v>
      </c>
      <c r="E2" s="19">
        <v>6501.0</v>
      </c>
      <c r="F2" s="19">
        <v>819.0</v>
      </c>
      <c r="G2" s="19">
        <v>434.0</v>
      </c>
      <c r="J2" s="24" t="s">
        <v>18</v>
      </c>
      <c r="K2" s="25">
        <f>AVERAGE(E2:E31)</f>
        <v>6428.571429</v>
      </c>
    </row>
    <row r="3">
      <c r="A3" s="18" t="s">
        <v>27</v>
      </c>
      <c r="B3" s="18" t="s">
        <v>28</v>
      </c>
      <c r="C3" s="18" t="s">
        <v>29</v>
      </c>
      <c r="D3" s="18" t="s">
        <v>28</v>
      </c>
      <c r="E3" s="19">
        <v>6624.0</v>
      </c>
      <c r="F3" s="19">
        <v>756.0</v>
      </c>
      <c r="G3" s="19">
        <v>321.0</v>
      </c>
      <c r="J3" s="24" t="s">
        <v>19</v>
      </c>
      <c r="K3" s="26">
        <f>AVERAGE(F2:F31)/10</f>
        <v>79.35714286</v>
      </c>
    </row>
    <row r="4">
      <c r="A4" s="18" t="s">
        <v>31</v>
      </c>
      <c r="B4" s="20"/>
      <c r="C4" s="18" t="s">
        <v>32</v>
      </c>
      <c r="D4" s="18" t="s">
        <v>249</v>
      </c>
      <c r="E4" s="19">
        <v>217.0</v>
      </c>
      <c r="F4" s="19">
        <v>632.0</v>
      </c>
      <c r="G4" s="18">
        <v>0.0</v>
      </c>
      <c r="J4" s="24" t="s">
        <v>20</v>
      </c>
      <c r="K4" s="26">
        <f>AVERAGE(G2:G31)/10</f>
        <v>35.85384615</v>
      </c>
    </row>
    <row r="5">
      <c r="A5" s="18" t="s">
        <v>35</v>
      </c>
      <c r="B5" s="18" t="s">
        <v>36</v>
      </c>
      <c r="C5" s="18" t="s">
        <v>37</v>
      </c>
      <c r="D5" s="18" t="s">
        <v>250</v>
      </c>
      <c r="E5" s="19">
        <v>3444.0</v>
      </c>
      <c r="F5" s="19">
        <v>811.0</v>
      </c>
      <c r="G5" s="19">
        <v>411.0</v>
      </c>
    </row>
    <row r="6">
      <c r="A6" s="18" t="s">
        <v>39</v>
      </c>
      <c r="B6" s="18" t="s">
        <v>40</v>
      </c>
      <c r="C6" s="18" t="s">
        <v>41</v>
      </c>
      <c r="D6" s="18" t="s">
        <v>251</v>
      </c>
      <c r="E6" s="19">
        <v>9886.0</v>
      </c>
      <c r="F6" s="18" t="s">
        <v>111</v>
      </c>
      <c r="G6" s="19">
        <v>327.0</v>
      </c>
    </row>
    <row r="7">
      <c r="A7" s="18" t="s">
        <v>45</v>
      </c>
      <c r="B7" s="18" t="s">
        <v>46</v>
      </c>
      <c r="C7" s="18" t="s">
        <v>47</v>
      </c>
      <c r="D7" s="18" t="s">
        <v>252</v>
      </c>
      <c r="E7" s="19">
        <v>9861.0</v>
      </c>
      <c r="F7" s="19">
        <v>762.0</v>
      </c>
      <c r="G7" s="19">
        <v>325.0</v>
      </c>
    </row>
    <row r="8">
      <c r="A8" s="18" t="s">
        <v>50</v>
      </c>
      <c r="B8" s="18" t="s">
        <v>51</v>
      </c>
      <c r="C8" s="18" t="s">
        <v>52</v>
      </c>
      <c r="D8" s="18" t="s">
        <v>253</v>
      </c>
      <c r="E8" s="19">
        <v>3442.0</v>
      </c>
      <c r="F8" s="19">
        <v>806.0</v>
      </c>
      <c r="G8" s="19">
        <v>385.0</v>
      </c>
    </row>
    <row r="9">
      <c r="A9" s="18" t="s">
        <v>54</v>
      </c>
      <c r="B9" s="18" t="s">
        <v>55</v>
      </c>
      <c r="C9" s="18" t="s">
        <v>56</v>
      </c>
      <c r="D9" s="18" t="s">
        <v>254</v>
      </c>
      <c r="E9" s="19">
        <v>7976.0</v>
      </c>
      <c r="F9" s="19">
        <v>733.0</v>
      </c>
      <c r="G9" s="19">
        <v>281.0</v>
      </c>
    </row>
    <row r="10">
      <c r="A10" s="18" t="s">
        <v>58</v>
      </c>
      <c r="B10" s="18" t="s">
        <v>59</v>
      </c>
      <c r="C10" s="18" t="s">
        <v>60</v>
      </c>
      <c r="D10" s="18" t="s">
        <v>255</v>
      </c>
      <c r="E10" s="19">
        <v>3315.0</v>
      </c>
      <c r="F10" s="19">
        <v>779.0</v>
      </c>
      <c r="G10" s="19">
        <v>353.0</v>
      </c>
    </row>
    <row r="11">
      <c r="A11" s="18" t="s">
        <v>63</v>
      </c>
      <c r="B11" s="18" t="s">
        <v>64</v>
      </c>
      <c r="C11" s="18" t="s">
        <v>65</v>
      </c>
      <c r="D11" s="18" t="s">
        <v>256</v>
      </c>
      <c r="E11" s="19">
        <v>9859.0</v>
      </c>
      <c r="F11" s="19">
        <v>839.0</v>
      </c>
      <c r="G11" s="19">
        <v>507.0</v>
      </c>
    </row>
    <row r="12">
      <c r="A12" s="18" t="s">
        <v>67</v>
      </c>
      <c r="B12" s="18" t="s">
        <v>68</v>
      </c>
      <c r="C12" s="18" t="s">
        <v>69</v>
      </c>
      <c r="D12" s="18" t="s">
        <v>257</v>
      </c>
      <c r="E12" s="19">
        <v>9898.0</v>
      </c>
      <c r="F12" s="19">
        <v>787.0</v>
      </c>
      <c r="G12" s="19">
        <v>384.0</v>
      </c>
    </row>
    <row r="13">
      <c r="A13" s="18" t="s">
        <v>67</v>
      </c>
      <c r="B13" s="18" t="s">
        <v>71</v>
      </c>
      <c r="C13" s="18" t="s">
        <v>72</v>
      </c>
      <c r="D13" s="18" t="s">
        <v>258</v>
      </c>
      <c r="E13" s="19">
        <v>7893.0</v>
      </c>
      <c r="F13" s="19">
        <v>832.0</v>
      </c>
      <c r="G13" s="19">
        <v>372.0</v>
      </c>
    </row>
    <row r="14">
      <c r="A14" s="18" t="s">
        <v>74</v>
      </c>
      <c r="B14" s="18" t="s">
        <v>75</v>
      </c>
      <c r="C14" s="18" t="s">
        <v>76</v>
      </c>
      <c r="D14" s="18" t="s">
        <v>259</v>
      </c>
      <c r="E14" s="19">
        <v>9376.0</v>
      </c>
      <c r="F14" s="19">
        <v>827.0</v>
      </c>
      <c r="G14" s="19">
        <v>442.0</v>
      </c>
    </row>
    <row r="15">
      <c r="A15" s="18" t="s">
        <v>78</v>
      </c>
      <c r="B15" s="18" t="s">
        <v>79</v>
      </c>
      <c r="C15" s="18" t="s">
        <v>80</v>
      </c>
      <c r="D15" s="18" t="s">
        <v>260</v>
      </c>
      <c r="E15" s="18" t="s">
        <v>261</v>
      </c>
      <c r="F15" s="19">
        <v>827.0</v>
      </c>
      <c r="G15" s="19">
        <v>379.0</v>
      </c>
    </row>
    <row r="16">
      <c r="A16" s="18" t="s">
        <v>83</v>
      </c>
      <c r="B16" s="18" t="s">
        <v>84</v>
      </c>
      <c r="C16" s="18" t="s">
        <v>85</v>
      </c>
      <c r="D16" s="18" t="s">
        <v>262</v>
      </c>
      <c r="E16" s="19">
        <v>9878.0</v>
      </c>
      <c r="F16" s="19">
        <v>712.0</v>
      </c>
      <c r="G16" s="19">
        <v>272.0</v>
      </c>
    </row>
    <row r="17">
      <c r="A17" s="18" t="s">
        <v>87</v>
      </c>
      <c r="B17" s="18" t="s">
        <v>88</v>
      </c>
      <c r="C17" s="18" t="s">
        <v>89</v>
      </c>
      <c r="D17" s="18" t="s">
        <v>263</v>
      </c>
      <c r="E17" s="19">
        <v>6351.0</v>
      </c>
      <c r="F17" s="18" t="s">
        <v>44</v>
      </c>
      <c r="G17" s="19">
        <v>258.0</v>
      </c>
    </row>
    <row r="18">
      <c r="A18" s="18" t="s">
        <v>91</v>
      </c>
      <c r="B18" s="18" t="s">
        <v>92</v>
      </c>
      <c r="C18" s="18" t="s">
        <v>93</v>
      </c>
      <c r="D18" s="18" t="s">
        <v>264</v>
      </c>
      <c r="E18" s="19">
        <v>9753.0</v>
      </c>
      <c r="F18" s="19">
        <v>846.0</v>
      </c>
      <c r="G18" s="19">
        <v>491.0</v>
      </c>
    </row>
    <row r="19">
      <c r="A19" s="18" t="s">
        <v>95</v>
      </c>
      <c r="B19" s="18" t="s">
        <v>96</v>
      </c>
      <c r="C19" s="18" t="s">
        <v>97</v>
      </c>
      <c r="D19" s="18" t="s">
        <v>265</v>
      </c>
      <c r="E19" s="19">
        <v>9766.0</v>
      </c>
      <c r="F19" s="19">
        <v>796.0</v>
      </c>
      <c r="G19" s="18" t="s">
        <v>266</v>
      </c>
    </row>
    <row r="20">
      <c r="A20" s="18" t="s">
        <v>99</v>
      </c>
      <c r="B20" s="18" t="s">
        <v>100</v>
      </c>
      <c r="C20" s="18" t="s">
        <v>101</v>
      </c>
      <c r="D20" s="18" t="s">
        <v>267</v>
      </c>
      <c r="E20" s="19">
        <v>6814.0</v>
      </c>
      <c r="F20" s="19">
        <v>872.0</v>
      </c>
      <c r="G20" s="19">
        <v>569.0</v>
      </c>
    </row>
    <row r="21">
      <c r="A21" s="18" t="s">
        <v>103</v>
      </c>
      <c r="B21" s="18" t="s">
        <v>104</v>
      </c>
      <c r="C21" s="18" t="s">
        <v>105</v>
      </c>
      <c r="D21" s="18" t="s">
        <v>268</v>
      </c>
      <c r="E21" s="19">
        <v>8477.0</v>
      </c>
      <c r="F21" s="19">
        <v>819.0</v>
      </c>
      <c r="G21" s="18" t="s">
        <v>269</v>
      </c>
    </row>
    <row r="22">
      <c r="A22" s="18" t="s">
        <v>107</v>
      </c>
      <c r="B22" s="18" t="s">
        <v>108</v>
      </c>
      <c r="C22" s="18" t="s">
        <v>109</v>
      </c>
      <c r="D22" s="18" t="s">
        <v>270</v>
      </c>
      <c r="E22" s="19">
        <v>9021.0</v>
      </c>
      <c r="F22" s="19">
        <v>829.0</v>
      </c>
      <c r="G22" s="19">
        <v>395.0</v>
      </c>
    </row>
    <row r="23">
      <c r="A23" s="18" t="s">
        <v>112</v>
      </c>
      <c r="B23" s="18" t="s">
        <v>113</v>
      </c>
      <c r="C23" s="18" t="s">
        <v>114</v>
      </c>
      <c r="D23" s="18" t="s">
        <v>271</v>
      </c>
      <c r="E23" s="19">
        <v>3642.0</v>
      </c>
      <c r="F23" s="19">
        <v>754.0</v>
      </c>
      <c r="G23" s="19">
        <v>265.0</v>
      </c>
    </row>
    <row r="24">
      <c r="A24" s="18" t="s">
        <v>117</v>
      </c>
      <c r="B24" s="18" t="s">
        <v>118</v>
      </c>
      <c r="C24" s="18" t="s">
        <v>119</v>
      </c>
      <c r="D24" s="18" t="s">
        <v>272</v>
      </c>
      <c r="E24" s="19">
        <v>4889.0</v>
      </c>
      <c r="F24" s="19">
        <v>896.0</v>
      </c>
      <c r="G24" s="19">
        <v>627.0</v>
      </c>
    </row>
    <row r="25">
      <c r="A25" s="18" t="s">
        <v>121</v>
      </c>
      <c r="B25" s="18" t="s">
        <v>122</v>
      </c>
      <c r="C25" s="18" t="s">
        <v>123</v>
      </c>
      <c r="D25" s="18" t="s">
        <v>273</v>
      </c>
      <c r="E25" s="19">
        <v>5593.0</v>
      </c>
      <c r="F25" s="19">
        <v>848.0</v>
      </c>
      <c r="G25" s="18" t="s">
        <v>274</v>
      </c>
    </row>
    <row r="26">
      <c r="A26" s="18" t="s">
        <v>125</v>
      </c>
      <c r="B26" s="18" t="s">
        <v>126</v>
      </c>
      <c r="C26" s="18" t="s">
        <v>127</v>
      </c>
      <c r="D26" s="18" t="s">
        <v>126</v>
      </c>
      <c r="E26" s="19">
        <v>6045.0</v>
      </c>
      <c r="F26" s="19">
        <v>871.0</v>
      </c>
      <c r="G26" s="18" t="s">
        <v>275</v>
      </c>
    </row>
    <row r="27">
      <c r="A27" s="18" t="s">
        <v>130</v>
      </c>
      <c r="B27" s="20"/>
      <c r="C27" s="18" t="s">
        <v>32</v>
      </c>
      <c r="D27" s="18" t="s">
        <v>276</v>
      </c>
      <c r="E27" s="19">
        <v>4966.0</v>
      </c>
      <c r="F27" s="19">
        <v>613.0</v>
      </c>
      <c r="G27" s="18">
        <v>0.0</v>
      </c>
    </row>
    <row r="28">
      <c r="A28" s="18" t="s">
        <v>132</v>
      </c>
      <c r="B28" s="18" t="s">
        <v>133</v>
      </c>
      <c r="C28" s="18" t="s">
        <v>134</v>
      </c>
      <c r="D28" s="18" t="s">
        <v>133</v>
      </c>
      <c r="E28" s="18" t="s">
        <v>277</v>
      </c>
      <c r="F28" s="19">
        <v>794.0</v>
      </c>
      <c r="G28" s="19">
        <v>312.0</v>
      </c>
    </row>
    <row r="29">
      <c r="A29" s="18" t="s">
        <v>136</v>
      </c>
      <c r="B29" s="18" t="s">
        <v>137</v>
      </c>
      <c r="C29" s="18" t="s">
        <v>138</v>
      </c>
      <c r="D29" s="18" t="s">
        <v>278</v>
      </c>
      <c r="E29" s="19">
        <v>1945.0</v>
      </c>
      <c r="F29" s="19">
        <v>947.0</v>
      </c>
      <c r="G29" s="19">
        <v>788.0</v>
      </c>
    </row>
    <row r="30">
      <c r="A30" s="18" t="s">
        <v>140</v>
      </c>
      <c r="B30" s="18" t="s">
        <v>141</v>
      </c>
      <c r="C30" s="18" t="s">
        <v>142</v>
      </c>
      <c r="D30" s="27">
        <v>0.03</v>
      </c>
      <c r="E30" s="19">
        <v>295.0</v>
      </c>
      <c r="F30" s="19">
        <v>611.0</v>
      </c>
      <c r="G30" s="19">
        <v>91.0</v>
      </c>
    </row>
    <row r="31">
      <c r="A31" s="18" t="s">
        <v>144</v>
      </c>
      <c r="B31" s="18" t="s">
        <v>145</v>
      </c>
      <c r="C31" s="18" t="s">
        <v>146</v>
      </c>
      <c r="D31" s="18" t="s">
        <v>279</v>
      </c>
      <c r="E31" s="19">
        <v>4273.0</v>
      </c>
      <c r="F31" s="19">
        <v>802.0</v>
      </c>
      <c r="G31" s="19">
        <v>333.0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41.63"/>
  </cols>
  <sheetData>
    <row r="1">
      <c r="A1" s="17" t="s">
        <v>14</v>
      </c>
      <c r="B1" s="17" t="s">
        <v>15</v>
      </c>
      <c r="C1" s="17" t="s">
        <v>16</v>
      </c>
      <c r="D1" s="17" t="s">
        <v>17</v>
      </c>
      <c r="E1" s="17" t="s">
        <v>18</v>
      </c>
      <c r="F1" s="17" t="s">
        <v>19</v>
      </c>
      <c r="G1" s="17" t="s">
        <v>20</v>
      </c>
      <c r="J1" s="23" t="s">
        <v>21</v>
      </c>
      <c r="K1" s="23"/>
    </row>
    <row r="2">
      <c r="A2" s="18" t="s">
        <v>22</v>
      </c>
      <c r="B2" s="18" t="s">
        <v>23</v>
      </c>
      <c r="C2" s="18" t="s">
        <v>24</v>
      </c>
      <c r="D2" s="18" t="s">
        <v>280</v>
      </c>
      <c r="E2" s="19">
        <v>7391.0</v>
      </c>
      <c r="F2" s="19">
        <v>702.0</v>
      </c>
      <c r="G2" s="19">
        <v>255.0</v>
      </c>
      <c r="J2" s="24" t="s">
        <v>18</v>
      </c>
      <c r="K2" s="25">
        <f>AVERAGE(E2:E31)</f>
        <v>6918.172414</v>
      </c>
    </row>
    <row r="3">
      <c r="A3" s="18" t="s">
        <v>27</v>
      </c>
      <c r="B3" s="18" t="s">
        <v>28</v>
      </c>
      <c r="C3" s="18" t="s">
        <v>29</v>
      </c>
      <c r="D3" s="18" t="s">
        <v>281</v>
      </c>
      <c r="E3" s="19">
        <v>7018.0</v>
      </c>
      <c r="F3" s="19">
        <v>686.0</v>
      </c>
      <c r="G3" s="19">
        <v>193.0</v>
      </c>
      <c r="J3" s="24" t="s">
        <v>19</v>
      </c>
      <c r="K3" s="26">
        <f>AVERAGE(F2:F31)/10</f>
        <v>76.59310345</v>
      </c>
    </row>
    <row r="4">
      <c r="A4" s="18" t="s">
        <v>31</v>
      </c>
      <c r="B4" s="20"/>
      <c r="C4" s="18" t="s">
        <v>32</v>
      </c>
      <c r="D4" s="18" t="s">
        <v>282</v>
      </c>
      <c r="E4" s="19">
        <v>901.0</v>
      </c>
      <c r="F4" s="19">
        <v>757.0</v>
      </c>
      <c r="G4" s="18">
        <v>0.0</v>
      </c>
      <c r="J4" s="24" t="s">
        <v>20</v>
      </c>
      <c r="K4" s="26">
        <f>AVERAGE(G2:G31)/10</f>
        <v>31.16785714</v>
      </c>
    </row>
    <row r="5">
      <c r="A5" s="18" t="s">
        <v>35</v>
      </c>
      <c r="B5" s="18" t="s">
        <v>36</v>
      </c>
      <c r="C5" s="18" t="s">
        <v>37</v>
      </c>
      <c r="D5" s="18" t="s">
        <v>283</v>
      </c>
      <c r="E5" s="19">
        <v>5398.0</v>
      </c>
      <c r="F5" s="19">
        <v>812.0</v>
      </c>
      <c r="G5" s="18" t="s">
        <v>284</v>
      </c>
    </row>
    <row r="6">
      <c r="A6" s="18" t="s">
        <v>39</v>
      </c>
      <c r="B6" s="18" t="s">
        <v>40</v>
      </c>
      <c r="C6" s="18" t="s">
        <v>41</v>
      </c>
      <c r="D6" s="18" t="s">
        <v>285</v>
      </c>
      <c r="E6" s="19">
        <v>8665.0</v>
      </c>
      <c r="F6" s="19">
        <v>792.0</v>
      </c>
      <c r="G6" s="19">
        <v>344.0</v>
      </c>
    </row>
    <row r="7">
      <c r="A7" s="18" t="s">
        <v>45</v>
      </c>
      <c r="B7" s="18" t="s">
        <v>46</v>
      </c>
      <c r="C7" s="18" t="s">
        <v>47</v>
      </c>
      <c r="D7" s="18" t="s">
        <v>286</v>
      </c>
      <c r="E7" s="19">
        <v>8739.0</v>
      </c>
      <c r="F7" s="19">
        <v>805.0</v>
      </c>
      <c r="G7" s="19">
        <v>366.0</v>
      </c>
    </row>
    <row r="8">
      <c r="A8" s="18" t="s">
        <v>50</v>
      </c>
      <c r="B8" s="18" t="s">
        <v>51</v>
      </c>
      <c r="C8" s="18" t="s">
        <v>52</v>
      </c>
      <c r="D8" s="18" t="s">
        <v>287</v>
      </c>
      <c r="E8" s="19">
        <v>7573.0</v>
      </c>
      <c r="F8" s="19">
        <v>829.0</v>
      </c>
      <c r="G8" s="19">
        <v>385.0</v>
      </c>
    </row>
    <row r="9">
      <c r="A9" s="18" t="s">
        <v>54</v>
      </c>
      <c r="B9" s="18" t="s">
        <v>55</v>
      </c>
      <c r="C9" s="18" t="s">
        <v>56</v>
      </c>
      <c r="D9" s="18" t="s">
        <v>288</v>
      </c>
      <c r="E9" s="19">
        <v>8643.0</v>
      </c>
      <c r="F9" s="19">
        <v>733.0</v>
      </c>
      <c r="G9" s="19">
        <v>356.0</v>
      </c>
    </row>
    <row r="10">
      <c r="A10" s="18" t="s">
        <v>58</v>
      </c>
      <c r="B10" s="18" t="s">
        <v>59</v>
      </c>
      <c r="C10" s="18" t="s">
        <v>60</v>
      </c>
      <c r="D10" s="18" t="s">
        <v>289</v>
      </c>
      <c r="E10" s="19">
        <v>8636.0</v>
      </c>
      <c r="F10" s="19">
        <v>757.0</v>
      </c>
      <c r="G10" s="19">
        <v>299.0</v>
      </c>
    </row>
    <row r="11">
      <c r="A11" s="18" t="s">
        <v>63</v>
      </c>
      <c r="B11" s="18" t="s">
        <v>64</v>
      </c>
      <c r="C11" s="18" t="s">
        <v>65</v>
      </c>
      <c r="D11" s="18" t="s">
        <v>290</v>
      </c>
      <c r="E11" s="19">
        <v>8681.0</v>
      </c>
      <c r="F11" s="19">
        <v>811.0</v>
      </c>
      <c r="G11" s="19">
        <v>438.0</v>
      </c>
    </row>
    <row r="12">
      <c r="A12" s="18" t="s">
        <v>67</v>
      </c>
      <c r="B12" s="18" t="s">
        <v>68</v>
      </c>
      <c r="C12" s="18" t="s">
        <v>69</v>
      </c>
      <c r="D12" s="18" t="s">
        <v>291</v>
      </c>
      <c r="E12" s="19">
        <v>8702.0</v>
      </c>
      <c r="F12" s="19">
        <v>777.0</v>
      </c>
      <c r="G12" s="19">
        <v>366.0</v>
      </c>
    </row>
    <row r="13">
      <c r="A13" s="18" t="s">
        <v>67</v>
      </c>
      <c r="B13" s="18" t="s">
        <v>71</v>
      </c>
      <c r="C13" s="18" t="s">
        <v>72</v>
      </c>
      <c r="D13" s="18" t="s">
        <v>292</v>
      </c>
      <c r="E13" s="19">
        <v>7736.0</v>
      </c>
      <c r="F13" s="19">
        <v>725.0</v>
      </c>
      <c r="G13" s="19">
        <v>271.0</v>
      </c>
    </row>
    <row r="14">
      <c r="A14" s="18" t="s">
        <v>74</v>
      </c>
      <c r="B14" s="18" t="s">
        <v>75</v>
      </c>
      <c r="C14" s="18" t="s">
        <v>76</v>
      </c>
      <c r="D14" s="18" t="s">
        <v>293</v>
      </c>
      <c r="E14" s="19">
        <v>7067.0</v>
      </c>
      <c r="F14" s="19">
        <v>788.0</v>
      </c>
      <c r="G14" s="18" t="s">
        <v>294</v>
      </c>
    </row>
    <row r="15">
      <c r="A15" s="18" t="s">
        <v>78</v>
      </c>
      <c r="B15" s="18" t="s">
        <v>79</v>
      </c>
      <c r="C15" s="18" t="s">
        <v>80</v>
      </c>
      <c r="D15" s="18" t="s">
        <v>295</v>
      </c>
      <c r="E15" s="19">
        <v>7238.0</v>
      </c>
      <c r="F15" s="19">
        <v>772.0</v>
      </c>
      <c r="G15" s="19">
        <v>313.0</v>
      </c>
    </row>
    <row r="16">
      <c r="A16" s="18" t="s">
        <v>83</v>
      </c>
      <c r="B16" s="18" t="s">
        <v>84</v>
      </c>
      <c r="C16" s="18" t="s">
        <v>85</v>
      </c>
      <c r="D16" s="18" t="s">
        <v>296</v>
      </c>
      <c r="E16" s="19">
        <v>8716.0</v>
      </c>
      <c r="F16" s="19">
        <v>742.0</v>
      </c>
      <c r="G16" s="19">
        <v>303.0</v>
      </c>
    </row>
    <row r="17">
      <c r="A17" s="18" t="s">
        <v>87</v>
      </c>
      <c r="B17" s="18" t="s">
        <v>88</v>
      </c>
      <c r="C17" s="18" t="s">
        <v>89</v>
      </c>
      <c r="D17" s="18" t="s">
        <v>297</v>
      </c>
      <c r="E17" s="19">
        <v>8222.0</v>
      </c>
      <c r="F17" s="19">
        <v>767.0</v>
      </c>
      <c r="G17" s="19">
        <v>333.0</v>
      </c>
    </row>
    <row r="18">
      <c r="A18" s="18" t="s">
        <v>91</v>
      </c>
      <c r="B18" s="18" t="s">
        <v>92</v>
      </c>
      <c r="C18" s="18" t="s">
        <v>93</v>
      </c>
      <c r="D18" s="18" t="s">
        <v>298</v>
      </c>
      <c r="E18" s="19">
        <v>6315.0</v>
      </c>
      <c r="F18" s="19">
        <v>812.0</v>
      </c>
      <c r="G18" s="19">
        <v>484.0</v>
      </c>
    </row>
    <row r="19">
      <c r="A19" s="18" t="s">
        <v>95</v>
      </c>
      <c r="B19" s="18" t="s">
        <v>96</v>
      </c>
      <c r="C19" s="18" t="s">
        <v>97</v>
      </c>
      <c r="D19" s="18" t="s">
        <v>299</v>
      </c>
      <c r="E19" s="19">
        <v>7617.0</v>
      </c>
      <c r="F19" s="19">
        <v>778.0</v>
      </c>
      <c r="G19" s="19">
        <v>407.0</v>
      </c>
    </row>
    <row r="20">
      <c r="A20" s="18" t="s">
        <v>99</v>
      </c>
      <c r="B20" s="18" t="s">
        <v>100</v>
      </c>
      <c r="C20" s="18" t="s">
        <v>101</v>
      </c>
      <c r="D20" s="18" t="s">
        <v>300</v>
      </c>
      <c r="E20" s="19">
        <v>6046.0</v>
      </c>
      <c r="F20" s="19">
        <v>804.0</v>
      </c>
      <c r="G20" s="19">
        <v>462.0</v>
      </c>
    </row>
    <row r="21">
      <c r="A21" s="18" t="s">
        <v>103</v>
      </c>
      <c r="B21" s="18" t="s">
        <v>104</v>
      </c>
      <c r="C21" s="18" t="s">
        <v>105</v>
      </c>
      <c r="D21" s="18" t="s">
        <v>301</v>
      </c>
      <c r="E21" s="19">
        <v>5819.0</v>
      </c>
      <c r="F21" s="19">
        <v>778.0</v>
      </c>
      <c r="G21" s="19">
        <v>303.0</v>
      </c>
    </row>
    <row r="22">
      <c r="A22" s="18" t="s">
        <v>107</v>
      </c>
      <c r="B22" s="18" t="s">
        <v>108</v>
      </c>
      <c r="C22" s="18" t="s">
        <v>109</v>
      </c>
      <c r="D22" s="18" t="s">
        <v>302</v>
      </c>
      <c r="E22" s="19">
        <v>8052.0</v>
      </c>
      <c r="F22" s="19">
        <v>749.0</v>
      </c>
      <c r="G22" s="19">
        <v>241.0</v>
      </c>
    </row>
    <row r="23">
      <c r="A23" s="18" t="s">
        <v>112</v>
      </c>
      <c r="B23" s="18" t="s">
        <v>113</v>
      </c>
      <c r="C23" s="18" t="s">
        <v>114</v>
      </c>
      <c r="D23" s="18" t="s">
        <v>303</v>
      </c>
      <c r="E23" s="19">
        <v>5097.0</v>
      </c>
      <c r="F23" s="19">
        <v>781.0</v>
      </c>
      <c r="G23" s="19">
        <v>309.0</v>
      </c>
    </row>
    <row r="24">
      <c r="A24" s="18" t="s">
        <v>117</v>
      </c>
      <c r="B24" s="18" t="s">
        <v>118</v>
      </c>
      <c r="C24" s="18" t="s">
        <v>119</v>
      </c>
      <c r="D24" s="18" t="s">
        <v>304</v>
      </c>
      <c r="E24" s="19">
        <v>8543.0</v>
      </c>
      <c r="F24" s="19">
        <v>785.0</v>
      </c>
      <c r="G24" s="19">
        <v>459.0</v>
      </c>
    </row>
    <row r="25">
      <c r="A25" s="18" t="s">
        <v>121</v>
      </c>
      <c r="B25" s="18" t="s">
        <v>122</v>
      </c>
      <c r="C25" s="18" t="s">
        <v>123</v>
      </c>
      <c r="D25" s="18" t="s">
        <v>305</v>
      </c>
      <c r="E25" s="19">
        <v>8626.0</v>
      </c>
      <c r="F25" s="18" t="s">
        <v>220</v>
      </c>
      <c r="G25" s="19">
        <v>308.0</v>
      </c>
    </row>
    <row r="26">
      <c r="A26" s="18" t="s">
        <v>125</v>
      </c>
      <c r="B26" s="18" t="s">
        <v>126</v>
      </c>
      <c r="C26" s="18" t="s">
        <v>127</v>
      </c>
      <c r="D26" s="18" t="s">
        <v>306</v>
      </c>
      <c r="E26" s="19">
        <v>6283.0</v>
      </c>
      <c r="F26" s="19">
        <v>726.0</v>
      </c>
      <c r="G26" s="19">
        <v>376.0</v>
      </c>
    </row>
    <row r="27">
      <c r="A27" s="18" t="s">
        <v>130</v>
      </c>
      <c r="B27" s="20"/>
      <c r="C27" s="18" t="s">
        <v>32</v>
      </c>
      <c r="D27" s="18" t="s">
        <v>282</v>
      </c>
      <c r="E27" s="19">
        <v>895.0</v>
      </c>
      <c r="F27" s="19">
        <v>757.0</v>
      </c>
      <c r="G27" s="18">
        <v>0.0</v>
      </c>
    </row>
    <row r="28">
      <c r="A28" s="18" t="s">
        <v>132</v>
      </c>
      <c r="B28" s="18" t="s">
        <v>133</v>
      </c>
      <c r="C28" s="18" t="s">
        <v>134</v>
      </c>
      <c r="D28" s="18" t="s">
        <v>307</v>
      </c>
      <c r="E28" s="19">
        <v>6733.0</v>
      </c>
      <c r="F28" s="19">
        <v>672.0</v>
      </c>
      <c r="G28" s="19">
        <v>228.0</v>
      </c>
    </row>
    <row r="29">
      <c r="A29" s="18" t="s">
        <v>136</v>
      </c>
      <c r="B29" s="18" t="s">
        <v>137</v>
      </c>
      <c r="C29" s="18" t="s">
        <v>138</v>
      </c>
      <c r="D29" s="18" t="s">
        <v>308</v>
      </c>
      <c r="E29" s="19">
        <v>4571.0</v>
      </c>
      <c r="F29" s="19">
        <v>792.0</v>
      </c>
      <c r="G29" s="19">
        <v>321.0</v>
      </c>
    </row>
    <row r="30">
      <c r="A30" s="18" t="s">
        <v>140</v>
      </c>
      <c r="B30" s="18" t="s">
        <v>141</v>
      </c>
      <c r="C30" s="18" t="s">
        <v>142</v>
      </c>
      <c r="D30" s="18" t="s">
        <v>309</v>
      </c>
      <c r="E30" s="18" t="s">
        <v>310</v>
      </c>
      <c r="F30" s="19">
        <v>762.0</v>
      </c>
      <c r="G30" s="19">
        <v>308.0</v>
      </c>
    </row>
    <row r="31">
      <c r="A31" s="18" t="s">
        <v>144</v>
      </c>
      <c r="B31" s="18" t="s">
        <v>145</v>
      </c>
      <c r="C31" s="18" t="s">
        <v>146</v>
      </c>
      <c r="D31" s="18" t="s">
        <v>311</v>
      </c>
      <c r="E31" s="19">
        <v>6704.0</v>
      </c>
      <c r="F31" s="19">
        <v>761.0</v>
      </c>
      <c r="G31" s="19">
        <v>299.0</v>
      </c>
    </row>
  </sheetData>
  <drawing r:id="rId1"/>
</worksheet>
</file>